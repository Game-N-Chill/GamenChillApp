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or\GitHub\Asso\AssetsGenerator\resources\template\"/>
    </mc:Choice>
  </mc:AlternateContent>
  <xr:revisionPtr revIDLastSave="0" documentId="13_ncr:1_{46FEA599-3A1C-409C-9722-F0CAD99AA839}" xr6:coauthVersionLast="47" xr6:coauthVersionMax="47" xr10:uidLastSave="{00000000-0000-0000-0000-000000000000}"/>
  <bookViews>
    <workbookView xWindow="42420" yWindow="7875" windowWidth="21600" windowHeight="11835" xr2:uid="{2F0D60C5-63AA-4767-A59B-0FBF4FA7B0CE}"/>
  </bookViews>
  <sheets>
    <sheet name="Solo 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0" i="1" l="1"/>
  <c r="AP19" i="1"/>
  <c r="AP33" i="1"/>
  <c r="AP32" i="1"/>
  <c r="AP31" i="1"/>
  <c r="W62" i="1"/>
  <c r="W57" i="1"/>
  <c r="I24" i="1"/>
  <c r="I23" i="1"/>
  <c r="I26" i="1"/>
  <c r="I25" i="1"/>
  <c r="I29" i="1"/>
  <c r="I28" i="1"/>
  <c r="I27" i="1"/>
  <c r="I32" i="1"/>
  <c r="I31" i="1"/>
  <c r="I30" i="1"/>
  <c r="I35" i="1"/>
  <c r="I34" i="1"/>
  <c r="I33" i="1"/>
  <c r="I38" i="1"/>
  <c r="I36" i="1"/>
  <c r="AI58" i="1"/>
  <c r="AI57" i="1"/>
  <c r="AI56" i="1"/>
  <c r="AI55" i="1"/>
  <c r="AC60" i="1"/>
  <c r="AC59" i="1"/>
  <c r="AC57" i="1"/>
  <c r="AC56" i="1"/>
  <c r="AC55" i="1"/>
  <c r="AC62" i="1"/>
  <c r="AC58" i="1"/>
  <c r="W66" i="1"/>
  <c r="W63" i="1"/>
  <c r="W60" i="1"/>
  <c r="W58" i="1"/>
  <c r="W55" i="1"/>
  <c r="Q62" i="1"/>
  <c r="Q64" i="1"/>
  <c r="Q58" i="1"/>
  <c r="Q60" i="1"/>
  <c r="Q66" i="1"/>
  <c r="Q56" i="1"/>
  <c r="Q61" i="1"/>
  <c r="Q63" i="1"/>
  <c r="AI20" i="1"/>
  <c r="AI18" i="1"/>
  <c r="AC22" i="1"/>
  <c r="AC21" i="1"/>
  <c r="AC20" i="1"/>
  <c r="AC19" i="1"/>
  <c r="AC18" i="1"/>
  <c r="AC17" i="1"/>
  <c r="W24" i="1"/>
  <c r="W26" i="1"/>
  <c r="W20" i="1"/>
  <c r="W22" i="1"/>
  <c r="W28" i="1"/>
  <c r="W18" i="1"/>
  <c r="W23" i="1"/>
  <c r="W25" i="1"/>
  <c r="W27" i="1"/>
  <c r="AP34" i="1"/>
  <c r="AC61" i="1"/>
  <c r="W65" i="1"/>
  <c r="W64" i="1"/>
  <c r="W61" i="1"/>
  <c r="W59" i="1"/>
  <c r="W56" i="1"/>
  <c r="AI19" i="1"/>
  <c r="AI17" i="1"/>
  <c r="Q65" i="1"/>
  <c r="W21" i="1"/>
  <c r="W19" i="1"/>
  <c r="W17" i="1"/>
  <c r="N40" i="1"/>
  <c r="N33" i="1"/>
  <c r="N34" i="1"/>
  <c r="N35" i="1"/>
  <c r="N36" i="1"/>
  <c r="N37" i="1"/>
  <c r="N38" i="1"/>
  <c r="N39" i="1"/>
  <c r="I37" i="1"/>
  <c r="AP18" i="1"/>
  <c r="AP17" i="1"/>
  <c r="Q59" i="1"/>
  <c r="Q57" i="1"/>
  <c r="Q55" i="1"/>
  <c r="I15" i="1"/>
  <c r="I16" i="1"/>
  <c r="I17" i="1"/>
  <c r="I18" i="1"/>
  <c r="I19" i="1"/>
  <c r="I20" i="1"/>
  <c r="I21" i="1"/>
  <c r="I22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17" i="1"/>
  <c r="O16" i="1"/>
  <c r="O18" i="1" s="1"/>
  <c r="O40" i="1" l="1"/>
  <c r="O39" i="1"/>
  <c r="O38" i="1"/>
  <c r="O37" i="1"/>
  <c r="O36" i="1"/>
  <c r="O35" i="1"/>
  <c r="O34" i="1"/>
  <c r="O33" i="1"/>
  <c r="O29" i="1"/>
  <c r="O28" i="1"/>
  <c r="O27" i="1"/>
  <c r="O24" i="1"/>
  <c r="O17" i="1"/>
  <c r="O23" i="1"/>
  <c r="O22" i="1"/>
  <c r="O21" i="1"/>
  <c r="O25" i="1"/>
  <c r="O32" i="1"/>
  <c r="O20" i="1"/>
  <c r="O26" i="1"/>
  <c r="O31" i="1"/>
  <c r="O19" i="1"/>
  <c r="O30" i="1"/>
  <c r="Q39" i="1" l="1" a="1"/>
  <c r="Q39" i="1" s="1"/>
  <c r="Q27" i="1" a="1"/>
  <c r="Q27" i="1" s="1"/>
  <c r="Q38" i="1" a="1"/>
  <c r="Q38" i="1" s="1"/>
  <c r="Q26" i="1" a="1"/>
  <c r="Q26" i="1" s="1"/>
  <c r="Q37" i="1" a="1"/>
  <c r="Q37" i="1" s="1"/>
  <c r="Q25" i="1" a="1"/>
  <c r="Q25" i="1" s="1"/>
  <c r="Q36" i="1" a="1"/>
  <c r="Q36" i="1" s="1"/>
  <c r="Q24" i="1" a="1"/>
  <c r="Q24" i="1" s="1"/>
  <c r="Q35" i="1" a="1"/>
  <c r="Q35" i="1" s="1"/>
  <c r="Q23" i="1" a="1"/>
  <c r="Q23" i="1" s="1"/>
  <c r="Q30" i="1" a="1"/>
  <c r="Q30" i="1" s="1"/>
  <c r="Q34" i="1" a="1"/>
  <c r="Q34" i="1" s="1"/>
  <c r="Q22" i="1" a="1"/>
  <c r="Q22" i="1" s="1"/>
  <c r="Q33" i="1" a="1"/>
  <c r="Q33" i="1" s="1"/>
  <c r="Q21" i="1" a="1"/>
  <c r="Q21" i="1" s="1"/>
  <c r="Q40" i="1" a="1"/>
  <c r="Q40" i="1" s="1"/>
  <c r="Q32" i="1" a="1"/>
  <c r="Q32" i="1" s="1"/>
  <c r="Q20" i="1" a="1"/>
  <c r="Q20" i="1" s="1"/>
  <c r="Q31" i="1" a="1"/>
  <c r="Q31" i="1" s="1"/>
  <c r="Q19" i="1" a="1"/>
  <c r="Q19" i="1" s="1"/>
  <c r="Q18" i="1" a="1"/>
  <c r="Q18" i="1" s="1"/>
  <c r="Q28" i="1" a="1"/>
  <c r="Q28" i="1" s="1"/>
  <c r="Q17" i="1" a="1"/>
  <c r="Q17" i="1" s="1"/>
  <c r="Q29" i="1" a="1"/>
  <c r="Q2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<sst xmlns="http://schemas.openxmlformats.org/spreadsheetml/2006/main" count="259" uniqueCount="187">
  <si>
    <t>RIFIFI sur le circuit #00</t>
  </si>
  <si>
    <t>Participants</t>
  </si>
  <si>
    <t>Liste Participants</t>
  </si>
  <si>
    <t>Participant #01</t>
  </si>
  <si>
    <t>Participant #02</t>
  </si>
  <si>
    <t>Participant #03</t>
  </si>
  <si>
    <t>Participant #04</t>
  </si>
  <si>
    <t>Participant #05</t>
  </si>
  <si>
    <t>Participant #06</t>
  </si>
  <si>
    <t>Participant #07</t>
  </si>
  <si>
    <t>Participant #08</t>
  </si>
  <si>
    <t>Participant #09</t>
  </si>
  <si>
    <t>Participant #10</t>
  </si>
  <si>
    <t>Participant #11</t>
  </si>
  <si>
    <t>Participant #12</t>
  </si>
  <si>
    <t>Participant #13</t>
  </si>
  <si>
    <t>Participant #14</t>
  </si>
  <si>
    <t>Participant #15</t>
  </si>
  <si>
    <t>Participant #16</t>
  </si>
  <si>
    <t>1er</t>
  </si>
  <si>
    <t>2e</t>
  </si>
  <si>
    <t>3e</t>
  </si>
  <si>
    <t>4e</t>
  </si>
  <si>
    <t>5e</t>
  </si>
  <si>
    <t>6e</t>
  </si>
  <si>
    <t>7e</t>
  </si>
  <si>
    <t>8e</t>
  </si>
  <si>
    <t>9e</t>
  </si>
  <si>
    <t>11e</t>
  </si>
  <si>
    <t>13e</t>
  </si>
  <si>
    <t>Courses</t>
  </si>
  <si>
    <t>ID</t>
  </si>
  <si>
    <t>Classement</t>
  </si>
  <si>
    <t>A</t>
  </si>
  <si>
    <t>B</t>
  </si>
  <si>
    <t>C</t>
  </si>
  <si>
    <t>D</t>
  </si>
  <si>
    <t>Winner Round #01</t>
  </si>
  <si>
    <t>E</t>
  </si>
  <si>
    <t>F</t>
  </si>
  <si>
    <t>Winner Finale</t>
  </si>
  <si>
    <t>WINNER BRACKET</t>
  </si>
  <si>
    <t>LOOSER BRACKET</t>
  </si>
  <si>
    <t>Looser Round #01</t>
  </si>
  <si>
    <t>Winner Round #02</t>
  </si>
  <si>
    <t>G</t>
  </si>
  <si>
    <t>H</t>
  </si>
  <si>
    <t>Looser Round #02</t>
  </si>
  <si>
    <t>J</t>
  </si>
  <si>
    <t>I</t>
  </si>
  <si>
    <t>Looser Finale</t>
  </si>
  <si>
    <t>WF</t>
  </si>
  <si>
    <t>Petite Finale</t>
  </si>
  <si>
    <t>Grande Finale</t>
  </si>
  <si>
    <t>GF</t>
  </si>
  <si>
    <t>PF</t>
  </si>
  <si>
    <t>K</t>
  </si>
  <si>
    <t>L</t>
  </si>
  <si>
    <t>Points</t>
  </si>
  <si>
    <t>Mario</t>
  </si>
  <si>
    <t>Luigi</t>
  </si>
  <si>
    <t>Peach</t>
  </si>
  <si>
    <t>Daisy</t>
  </si>
  <si>
    <t>Harmonie</t>
  </si>
  <si>
    <t>Yoshi</t>
  </si>
  <si>
    <t>Yoshi Rouge</t>
  </si>
  <si>
    <t>Yoshi Bleu Marine</t>
  </si>
  <si>
    <t>Yoshi Bleu Ciel</t>
  </si>
  <si>
    <t>Yoshi Jaune</t>
  </si>
  <si>
    <t>Yoshi Rose</t>
  </si>
  <si>
    <t>Yoshi Noir</t>
  </si>
  <si>
    <t>Yoshi Blanc</t>
  </si>
  <si>
    <t>Yoshi Orange</t>
  </si>
  <si>
    <t>Toad</t>
  </si>
  <si>
    <t>Koopa</t>
  </si>
  <si>
    <t>Maskass</t>
  </si>
  <si>
    <t>Lakitu</t>
  </si>
  <si>
    <t>Toadette</t>
  </si>
  <si>
    <t>Wario</t>
  </si>
  <si>
    <t>Waluigi</t>
  </si>
  <si>
    <t>Bowser</t>
  </si>
  <si>
    <t>Skelerex</t>
  </si>
  <si>
    <t>Lemmy</t>
  </si>
  <si>
    <t>Larry</t>
  </si>
  <si>
    <t>Wendy</t>
  </si>
  <si>
    <t>Ludwig</t>
  </si>
  <si>
    <t>Iggy</t>
  </si>
  <si>
    <t>Roy</t>
  </si>
  <si>
    <t>Morton</t>
  </si>
  <si>
    <t>Link</t>
  </si>
  <si>
    <t>Villageois</t>
  </si>
  <si>
    <t>Villageoise</t>
  </si>
  <si>
    <t>Marie</t>
  </si>
  <si>
    <t>Birdo</t>
  </si>
  <si>
    <t>Wiggler</t>
  </si>
  <si>
    <t>Kamek</t>
  </si>
  <si>
    <t>Peachette</t>
  </si>
  <si>
    <t>Pauline</t>
  </si>
  <si>
    <t>MII</t>
  </si>
  <si>
    <t>Roi Boo</t>
  </si>
  <si>
    <t>🏆   Résultats Finaux   🏆</t>
  </si>
  <si>
    <t>Participant #17</t>
  </si>
  <si>
    <t>Participant #18</t>
  </si>
  <si>
    <t>Participant #19</t>
  </si>
  <si>
    <t>Participant #20</t>
  </si>
  <si>
    <t>Participant #21</t>
  </si>
  <si>
    <t>Participant #22</t>
  </si>
  <si>
    <t>Participant #23</t>
  </si>
  <si>
    <t>Participant #24</t>
  </si>
  <si>
    <t>16e</t>
  </si>
  <si>
    <t>19e</t>
  </si>
  <si>
    <t>22e</t>
  </si>
  <si>
    <t>LF</t>
  </si>
  <si>
    <t>M</t>
  </si>
  <si>
    <t>N</t>
  </si>
  <si>
    <t>O</t>
  </si>
  <si>
    <t>P</t>
  </si>
  <si>
    <t>Q</t>
  </si>
  <si>
    <t>R</t>
  </si>
  <si>
    <t>S</t>
  </si>
  <si>
    <t>Winner Round #03</t>
  </si>
  <si>
    <t>Looser Round #03</t>
  </si>
  <si>
    <t>FINALES</t>
  </si>
  <si>
    <t>Edition 150cc</t>
  </si>
  <si>
    <r>
      <t>Baby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Daisy</t>
    </r>
  </si>
  <si>
    <r>
      <t>Baby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Harmonie</t>
    </r>
  </si>
  <si>
    <r>
      <t>Baby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Luigi</t>
    </r>
  </si>
  <si>
    <r>
      <t>Baby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Mario</t>
    </r>
  </si>
  <si>
    <r>
      <t>Baby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Peach</t>
    </r>
  </si>
  <si>
    <r>
      <t>Bill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Dozer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</si>
  <si>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Blanc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</si>
  <si>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Bleu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Ciel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</si>
  <si>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Bleu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Marine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</si>
  <si>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Jaune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</si>
  <si>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Noir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</si>
  <si>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Orange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</si>
  <si>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Rouge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</si>
  <si>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Vert</t>
    </r>
  </si>
  <si>
    <r>
      <t>Bonhomme</t>
    </r>
    <r>
      <rPr>
        <sz val="13"/>
        <color rgb="FFCCCCCC"/>
        <rFont val="Consolas"/>
        <family val="3"/>
      </rPr>
      <t xml:space="preserve"> de </t>
    </r>
    <r>
      <rPr>
        <sz val="13"/>
        <color rgb="FF4FC1FF"/>
        <rFont val="Consolas"/>
        <family val="3"/>
      </rPr>
      <t>Neige</t>
    </r>
  </si>
  <si>
    <r>
      <t>Bowser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Jr</t>
    </r>
  </si>
  <si>
    <r>
      <t>Bowser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Squelette</t>
    </r>
  </si>
  <si>
    <t>Butitine</t>
  </si>
  <si>
    <t>Carottin</t>
  </si>
  <si>
    <t>Catacouac</t>
  </si>
  <si>
    <r>
      <t>Cheep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Cheep</t>
    </r>
  </si>
  <si>
    <t>Crapognon</t>
  </si>
  <si>
    <t>Dauphin</t>
  </si>
  <si>
    <r>
      <t>Diddy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Kong</t>
    </r>
  </si>
  <si>
    <r>
      <t>Donkey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Kong</t>
    </r>
  </si>
  <si>
    <r>
      <t>Flora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Piranha</t>
    </r>
  </si>
  <si>
    <r>
      <t>Frere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Marteau</t>
    </r>
  </si>
  <si>
    <r>
      <t>Funky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Kong</t>
    </r>
  </si>
  <si>
    <t>Goomba</t>
  </si>
  <si>
    <r>
      <t>Inkling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Boy</t>
    </r>
  </si>
  <si>
    <r>
      <t>Inkling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Boy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Cyan</t>
    </r>
  </si>
  <si>
    <r>
      <t>Inkling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Boy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Violet</t>
    </r>
  </si>
  <si>
    <r>
      <t>Inkling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Girl</t>
    </r>
  </si>
  <si>
    <r>
      <t>Inkling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Girl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Rose</t>
    </r>
  </si>
  <si>
    <r>
      <t>Inkling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Girl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Vert</t>
    </r>
  </si>
  <si>
    <r>
      <t>Link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BOTW</t>
    </r>
  </si>
  <si>
    <r>
      <t>Mario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Gold</t>
    </r>
  </si>
  <si>
    <r>
      <t>Mario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Tanuki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</si>
  <si>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Blanc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</si>
  <si>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Bleu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Ciel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</si>
  <si>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Bleu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Marine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</si>
  <si>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Jaune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</si>
  <si>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Noir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</si>
  <si>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Orange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</si>
  <si>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Rose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</si>
  <si>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Vert</t>
    </r>
  </si>
  <si>
    <r>
      <t>Metal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Mario</t>
    </r>
  </si>
  <si>
    <t>Ossec</t>
  </si>
  <si>
    <t>Paltrak</t>
  </si>
  <si>
    <t>Paracoccinelly</t>
  </si>
  <si>
    <r>
      <t>Peach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Chat</t>
    </r>
  </si>
  <si>
    <r>
      <t>Peach</t>
    </r>
    <r>
      <rPr>
        <sz val="13"/>
        <color rgb="FFCCCCCC"/>
        <rFont val="Consolas"/>
        <family val="3"/>
      </rPr>
      <t xml:space="preserve"> d</t>
    </r>
    <r>
      <rPr>
        <sz val="13"/>
        <color rgb="FFCE9178"/>
        <rFont val="Consolas"/>
        <family val="3"/>
      </rPr>
      <t>'Or Rose</t>
    </r>
  </si>
  <si>
    <t>Pianta</t>
  </si>
  <si>
    <t>Pico Condor</t>
  </si>
  <si>
    <t>Pingouin</t>
  </si>
  <si>
    <t>Plante Piranha</t>
  </si>
  <si>
    <t>Pokey</t>
  </si>
  <si>
    <t>Spike</t>
  </si>
  <si>
    <t>Swooper</t>
  </si>
  <si>
    <t>Topi Taupe</t>
  </si>
  <si>
    <t>Torti Taupe</t>
  </si>
  <si>
    <t>Vache</t>
  </si>
  <si>
    <t>Zarbipas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</si>
</sst>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40"/>
      <color theme="1"/>
      <name val="Arial"/>
      <family val="2"/>
    </font>
    <font>
      <sz val="32"/>
      <color theme="1"/>
      <name val="Arial"/>
      <family val="2"/>
    </font>
    <font>
      <sz val="18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5"/>
      <color theme="1"/>
      <name val="Arial"/>
      <family val="2"/>
    </font>
    <font>
      <b/>
      <sz val="20"/>
      <color theme="1"/>
      <name val="Arial"/>
      <family val="2"/>
    </font>
    <font>
      <b/>
      <sz val="32"/>
      <color theme="1"/>
      <name val="Arial"/>
      <family val="2"/>
    </font>
    <font>
      <b/>
      <sz val="40"/>
      <color theme="1"/>
      <name val="Arial"/>
      <family val="2"/>
    </font>
    <font>
      <sz val="12.5"/>
      <color theme="1"/>
      <name val="Arial"/>
      <family val="2"/>
    </font>
    <font>
      <sz val="13"/>
      <color rgb="FFCE9178"/>
      <name val="Consolas"/>
      <family val="3"/>
    </font>
    <font>
      <b/>
      <sz val="64"/>
      <color theme="1"/>
      <name val="Arial"/>
      <family val="2"/>
    </font>
    <font>
      <b/>
      <sz val="24"/>
      <color theme="1"/>
      <name val="Arial"/>
      <family val="2"/>
    </font>
    <font>
      <sz val="13"/>
      <color rgb="FFCCCCCC"/>
      <name val="Consolas"/>
      <family val="3"/>
    </font>
    <font>
      <sz val="13"/>
      <color rgb="FF4FC1FF"/>
      <name val="Consolas"/>
      <family val="3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8F336"/>
        <bgColor indexed="64"/>
      </patternFill>
    </fill>
    <fill>
      <patternFill patternType="solid">
        <fgColor rgb="FFCE9B68"/>
        <bgColor indexed="64"/>
      </patternFill>
    </fill>
    <fill>
      <patternFill patternType="solid">
        <fgColor rgb="FF45312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291D42"/>
        <bgColor indexed="64"/>
      </patternFill>
    </fill>
    <fill>
      <patternFill patternType="solid">
        <fgColor rgb="FF51466A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5" borderId="10" xfId="0" applyFont="1" applyFill="1" applyBorder="1"/>
    <xf numFmtId="0" fontId="8" fillId="6" borderId="4" xfId="0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0" fontId="8" fillId="7" borderId="9" xfId="0" applyFont="1" applyFill="1" applyBorder="1" applyAlignment="1">
      <alignment horizontal="right" vertical="center"/>
    </xf>
    <xf numFmtId="0" fontId="8" fillId="6" borderId="13" xfId="0" applyFont="1" applyFill="1" applyBorder="1" applyAlignment="1">
      <alignment horizontal="right" vertical="center"/>
    </xf>
    <xf numFmtId="0" fontId="8" fillId="6" borderId="15" xfId="0" applyFont="1" applyFill="1" applyBorder="1" applyAlignment="1">
      <alignment horizontal="right" vertical="center"/>
    </xf>
    <xf numFmtId="0" fontId="8" fillId="5" borderId="13" xfId="0" applyFont="1" applyFill="1" applyBorder="1" applyAlignment="1">
      <alignment horizontal="left" vertical="center"/>
    </xf>
    <xf numFmtId="0" fontId="8" fillId="5" borderId="14" xfId="0" applyFont="1" applyFill="1" applyBorder="1" applyAlignment="1">
      <alignment horizontal="left" vertical="center"/>
    </xf>
    <xf numFmtId="0" fontId="8" fillId="5" borderId="15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horizontal="right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7" fillId="5" borderId="7" xfId="0" applyFont="1" applyFill="1" applyBorder="1"/>
    <xf numFmtId="0" fontId="7" fillId="5" borderId="8" xfId="0" applyFont="1" applyFill="1" applyBorder="1" applyAlignment="1">
      <alignment horizontal="left"/>
    </xf>
    <xf numFmtId="0" fontId="7" fillId="5" borderId="9" xfId="0" applyFont="1" applyFill="1" applyBorder="1" applyAlignment="1">
      <alignment horizontal="left"/>
    </xf>
    <xf numFmtId="0" fontId="8" fillId="5" borderId="2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0" fontId="8" fillId="5" borderId="7" xfId="0" applyFont="1" applyFill="1" applyBorder="1" applyAlignment="1">
      <alignment horizontal="left" vertical="center"/>
    </xf>
    <xf numFmtId="0" fontId="8" fillId="7" borderId="15" xfId="0" applyFont="1" applyFill="1" applyBorder="1" applyAlignment="1">
      <alignment horizontal="right" vertical="center"/>
    </xf>
    <xf numFmtId="0" fontId="8" fillId="9" borderId="13" xfId="0" applyFont="1" applyFill="1" applyBorder="1" applyAlignment="1">
      <alignment horizontal="right" vertical="center"/>
    </xf>
    <xf numFmtId="0" fontId="8" fillId="8" borderId="14" xfId="0" applyFont="1" applyFill="1" applyBorder="1" applyAlignment="1">
      <alignment horizontal="right" vertical="center"/>
    </xf>
    <xf numFmtId="0" fontId="8" fillId="10" borderId="14" xfId="0" applyFont="1" applyFill="1" applyBorder="1" applyAlignment="1">
      <alignment horizontal="right" vertical="center"/>
    </xf>
    <xf numFmtId="0" fontId="9" fillId="0" borderId="14" xfId="0" applyFont="1" applyBorder="1" applyAlignment="1">
      <alignment horizontal="right" vertical="center"/>
    </xf>
    <xf numFmtId="0" fontId="9" fillId="0" borderId="15" xfId="0" applyFont="1" applyBorder="1" applyAlignment="1">
      <alignment horizontal="right" vertical="center"/>
    </xf>
    <xf numFmtId="0" fontId="9" fillId="9" borderId="14" xfId="0" applyFont="1" applyFill="1" applyBorder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9" fillId="8" borderId="14" xfId="0" applyFont="1" applyFill="1" applyBorder="1" applyAlignment="1">
      <alignment horizontal="right" vertical="center"/>
    </xf>
    <xf numFmtId="0" fontId="9" fillId="10" borderId="14" xfId="0" applyFont="1" applyFill="1" applyBorder="1" applyAlignment="1">
      <alignment horizontal="right" vertical="center"/>
    </xf>
    <xf numFmtId="0" fontId="9" fillId="0" borderId="9" xfId="0" applyFont="1" applyBorder="1" applyAlignment="1">
      <alignment horizontal="center" vertical="center"/>
    </xf>
    <xf numFmtId="0" fontId="5" fillId="5" borderId="17" xfId="0" applyFont="1" applyFill="1" applyBorder="1" applyAlignment="1">
      <alignment vertical="center"/>
    </xf>
    <xf numFmtId="0" fontId="3" fillId="5" borderId="17" xfId="0" applyFont="1" applyFill="1" applyBorder="1"/>
    <xf numFmtId="0" fontId="3" fillId="5" borderId="18" xfId="0" applyFont="1" applyFill="1" applyBorder="1"/>
    <xf numFmtId="0" fontId="3" fillId="5" borderId="20" xfId="0" applyFont="1" applyFill="1" applyBorder="1"/>
    <xf numFmtId="0" fontId="3" fillId="5" borderId="19" xfId="0" applyFont="1" applyFill="1" applyBorder="1"/>
    <xf numFmtId="0" fontId="1" fillId="5" borderId="19" xfId="0" applyFont="1" applyFill="1" applyBorder="1" applyAlignment="1">
      <alignment horizontal="right" vertical="center"/>
    </xf>
    <xf numFmtId="0" fontId="3" fillId="5" borderId="21" xfId="0" applyFont="1" applyFill="1" applyBorder="1"/>
    <xf numFmtId="0" fontId="3" fillId="5" borderId="22" xfId="0" applyFont="1" applyFill="1" applyBorder="1"/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/>
    <xf numFmtId="0" fontId="8" fillId="9" borderId="6" xfId="0" applyFont="1" applyFill="1" applyBorder="1" applyAlignment="1">
      <alignment horizontal="right" vertical="center"/>
    </xf>
    <xf numFmtId="0" fontId="8" fillId="8" borderId="6" xfId="0" applyFont="1" applyFill="1" applyBorder="1" applyAlignment="1">
      <alignment horizontal="right" vertical="center"/>
    </xf>
    <xf numFmtId="0" fontId="8" fillId="10" borderId="6" xfId="0" applyFont="1" applyFill="1" applyBorder="1" applyAlignment="1">
      <alignment horizontal="right" vertical="center"/>
    </xf>
    <xf numFmtId="0" fontId="9" fillId="9" borderId="6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right" vertical="center"/>
    </xf>
    <xf numFmtId="0" fontId="1" fillId="5" borderId="22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8" borderId="14" xfId="0" applyFont="1" applyFill="1" applyBorder="1" applyAlignment="1">
      <alignment horizontal="right" vertical="center"/>
    </xf>
    <xf numFmtId="0" fontId="13" fillId="10" borderId="14" xfId="0" applyFont="1" applyFill="1" applyBorder="1" applyAlignment="1">
      <alignment horizontal="right" vertical="center"/>
    </xf>
    <xf numFmtId="0" fontId="13" fillId="0" borderId="14" xfId="0" applyFont="1" applyBorder="1" applyAlignment="1">
      <alignment horizontal="right" vertical="center"/>
    </xf>
    <xf numFmtId="0" fontId="13" fillId="0" borderId="15" xfId="0" applyFont="1" applyBorder="1" applyAlignment="1">
      <alignment horizontal="right" vertical="center"/>
    </xf>
    <xf numFmtId="0" fontId="3" fillId="0" borderId="17" xfId="0" applyFont="1" applyBorder="1"/>
    <xf numFmtId="0" fontId="3" fillId="0" borderId="22" xfId="0" applyFont="1" applyBorder="1"/>
    <xf numFmtId="0" fontId="9" fillId="0" borderId="2" xfId="0" applyFont="1" applyBorder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0" fontId="9" fillId="0" borderId="7" xfId="0" applyFont="1" applyBorder="1" applyAlignment="1">
      <alignment horizontal="right" vertical="center"/>
    </xf>
    <xf numFmtId="0" fontId="3" fillId="11" borderId="17" xfId="0" applyFont="1" applyFill="1" applyBorder="1" applyAlignment="1">
      <alignment horizontal="center"/>
    </xf>
    <xf numFmtId="0" fontId="3" fillId="5" borderId="0" xfId="0" applyFont="1" applyFill="1"/>
    <xf numFmtId="0" fontId="3" fillId="3" borderId="13" xfId="0" applyFont="1" applyFill="1" applyBorder="1"/>
    <xf numFmtId="0" fontId="3" fillId="3" borderId="14" xfId="0" applyFont="1" applyFill="1" applyBorder="1"/>
    <xf numFmtId="0" fontId="3" fillId="3" borderId="6" xfId="0" applyFont="1" applyFill="1" applyBorder="1"/>
    <xf numFmtId="0" fontId="1" fillId="0" borderId="10" xfId="0" applyFont="1" applyBorder="1" applyAlignment="1">
      <alignment horizontal="center" vertical="center"/>
    </xf>
    <xf numFmtId="0" fontId="8" fillId="6" borderId="3" xfId="0" applyFont="1" applyFill="1" applyBorder="1" applyAlignment="1">
      <alignment horizontal="right" vertical="center"/>
    </xf>
    <xf numFmtId="0" fontId="8" fillId="6" borderId="8" xfId="0" applyFont="1" applyFill="1" applyBorder="1" applyAlignment="1">
      <alignment horizontal="right" vertical="center"/>
    </xf>
    <xf numFmtId="0" fontId="8" fillId="7" borderId="8" xfId="0" applyFont="1" applyFill="1" applyBorder="1" applyAlignment="1">
      <alignment horizontal="right" vertical="center"/>
    </xf>
    <xf numFmtId="0" fontId="7" fillId="5" borderId="11" xfId="0" applyFont="1" applyFill="1" applyBorder="1"/>
    <xf numFmtId="0" fontId="1" fillId="0" borderId="12" xfId="0" applyFont="1" applyBorder="1" applyAlignment="1">
      <alignment horizontal="center" vertical="center"/>
    </xf>
    <xf numFmtId="0" fontId="8" fillId="7" borderId="13" xfId="0" applyFont="1" applyFill="1" applyBorder="1" applyAlignment="1">
      <alignment horizontal="right" vertical="center"/>
    </xf>
    <xf numFmtId="0" fontId="3" fillId="3" borderId="2" xfId="0" applyFont="1" applyFill="1" applyBorder="1"/>
    <xf numFmtId="0" fontId="3" fillId="3" borderId="5" xfId="0" applyFont="1" applyFill="1" applyBorder="1"/>
    <xf numFmtId="0" fontId="9" fillId="0" borderId="19" xfId="0" applyFont="1" applyBorder="1" applyAlignment="1">
      <alignment horizontal="center"/>
    </xf>
    <xf numFmtId="0" fontId="3" fillId="5" borderId="22" xfId="0" applyFont="1" applyFill="1" applyBorder="1" applyAlignment="1">
      <alignment horizontal="center"/>
    </xf>
    <xf numFmtId="0" fontId="3" fillId="0" borderId="19" xfId="0" applyFont="1" applyBorder="1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20" xfId="0" applyFont="1" applyBorder="1"/>
    <xf numFmtId="0" fontId="3" fillId="0" borderId="19" xfId="0" applyFont="1" applyBorder="1" applyAlignment="1">
      <alignment horizontal="center"/>
    </xf>
    <xf numFmtId="0" fontId="3" fillId="0" borderId="21" xfId="0" applyFont="1" applyBorder="1"/>
    <xf numFmtId="0" fontId="3" fillId="0" borderId="23" xfId="0" applyFont="1" applyBorder="1"/>
    <xf numFmtId="0" fontId="11" fillId="4" borderId="28" xfId="0" applyFont="1" applyFill="1" applyBorder="1" applyAlignment="1">
      <alignment vertical="center"/>
    </xf>
    <xf numFmtId="0" fontId="11" fillId="4" borderId="30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7" borderId="0" xfId="0" applyFont="1" applyFill="1" applyAlignment="1">
      <alignment horizontal="right" vertical="center"/>
    </xf>
    <xf numFmtId="0" fontId="1" fillId="5" borderId="0" xfId="0" applyFont="1" applyFill="1" applyAlignment="1">
      <alignment vertical="center" textRotation="255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right" vertical="center"/>
    </xf>
    <xf numFmtId="0" fontId="1" fillId="5" borderId="0" xfId="0" applyFont="1" applyFill="1" applyAlignment="1">
      <alignment vertical="center"/>
    </xf>
    <xf numFmtId="9" fontId="1" fillId="5" borderId="0" xfId="0" applyNumberFormat="1" applyFont="1" applyFill="1"/>
    <xf numFmtId="0" fontId="4" fillId="5" borderId="0" xfId="0" applyFont="1" applyFill="1" applyAlignment="1">
      <alignment vertical="center"/>
    </xf>
    <xf numFmtId="0" fontId="1" fillId="5" borderId="0" xfId="0" applyFont="1" applyFill="1" applyAlignment="1">
      <alignment horizontal="right" vertical="center"/>
    </xf>
    <xf numFmtId="0" fontId="7" fillId="5" borderId="0" xfId="0" applyFont="1" applyFill="1" applyAlignment="1">
      <alignment horizontal="left"/>
    </xf>
    <xf numFmtId="0" fontId="3" fillId="5" borderId="0" xfId="0" applyFont="1" applyFill="1" applyAlignment="1">
      <alignment horizontal="center"/>
    </xf>
    <xf numFmtId="0" fontId="8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 textRotation="255"/>
    </xf>
    <xf numFmtId="0" fontId="11" fillId="4" borderId="29" xfId="0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6" fillId="5" borderId="0" xfId="0" applyFont="1" applyFill="1" applyAlignment="1">
      <alignment horizontal="center"/>
    </xf>
    <xf numFmtId="0" fontId="12" fillId="9" borderId="3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2" fillId="9" borderId="8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4" borderId="26" xfId="0" applyFont="1" applyFill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14" fontId="16" fillId="4" borderId="29" xfId="0" applyNumberFormat="1" applyFont="1" applyFill="1" applyBorder="1" applyAlignment="1">
      <alignment horizontal="right" vertical="center"/>
    </xf>
    <xf numFmtId="0" fontId="3" fillId="0" borderId="1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textRotation="255"/>
    </xf>
    <xf numFmtId="0" fontId="1" fillId="0" borderId="5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 textRotation="255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left"/>
    </xf>
    <xf numFmtId="0" fontId="7" fillId="5" borderId="12" xfId="0" applyFont="1" applyFill="1" applyBorder="1" applyAlignment="1">
      <alignment horizontal="left"/>
    </xf>
    <xf numFmtId="0" fontId="1" fillId="0" borderId="13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horizontal="center" vertical="center" textRotation="255"/>
    </xf>
    <xf numFmtId="0" fontId="1" fillId="0" borderId="15" xfId="0" applyFont="1" applyBorder="1" applyAlignment="1">
      <alignment horizontal="center" vertical="center" textRotation="255"/>
    </xf>
    <xf numFmtId="0" fontId="3" fillId="2" borderId="8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center"/>
    </xf>
    <xf numFmtId="0" fontId="3" fillId="5" borderId="22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8" xfId="0" applyFont="1" applyBorder="1" applyAlignment="1">
      <alignment horizontal="center" vertical="center" textRotation="255"/>
    </xf>
    <xf numFmtId="0" fontId="7" fillId="5" borderId="8" xfId="0" applyFont="1" applyFill="1" applyBorder="1" applyAlignment="1">
      <alignment horizontal="left"/>
    </xf>
    <xf numFmtId="0" fontId="7" fillId="5" borderId="9" xfId="0" applyFont="1" applyFill="1" applyBorder="1" applyAlignment="1">
      <alignment horizontal="left"/>
    </xf>
    <xf numFmtId="0" fontId="12" fillId="10" borderId="3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10" borderId="8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/>
    </xf>
    <xf numFmtId="0" fontId="3" fillId="13" borderId="17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13" borderId="18" xfId="0" applyFont="1" applyFill="1" applyBorder="1" applyAlignment="1">
      <alignment horizontal="center"/>
    </xf>
    <xf numFmtId="0" fontId="3" fillId="13" borderId="20" xfId="0" applyFont="1" applyFill="1" applyBorder="1" applyAlignment="1">
      <alignment horizontal="center"/>
    </xf>
    <xf numFmtId="0" fontId="3" fillId="13" borderId="16" xfId="0" applyFont="1" applyFill="1" applyBorder="1" applyAlignment="1">
      <alignment horizontal="center"/>
    </xf>
    <xf numFmtId="0" fontId="3" fillId="13" borderId="19" xfId="0" applyFont="1" applyFill="1" applyBorder="1" applyAlignment="1">
      <alignment horizontal="center"/>
    </xf>
    <xf numFmtId="0" fontId="3" fillId="14" borderId="24" xfId="0" applyFont="1" applyFill="1" applyBorder="1" applyAlignment="1">
      <alignment horizontal="center"/>
    </xf>
    <xf numFmtId="0" fontId="3" fillId="14" borderId="14" xfId="0" applyFont="1" applyFill="1" applyBorder="1" applyAlignment="1">
      <alignment horizontal="center"/>
    </xf>
    <xf numFmtId="0" fontId="3" fillId="14" borderId="25" xfId="0" applyFont="1" applyFill="1" applyBorder="1" applyAlignment="1">
      <alignment horizontal="center"/>
    </xf>
    <xf numFmtId="0" fontId="4" fillId="14" borderId="24" xfId="0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/>
    </xf>
    <xf numFmtId="0" fontId="4" fillId="14" borderId="25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2" fillId="12" borderId="2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0" fontId="12" fillId="12" borderId="31" xfId="0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2" fillId="12" borderId="20" xfId="0" applyFont="1" applyFill="1" applyBorder="1" applyAlignment="1">
      <alignment horizontal="center" vertical="center"/>
    </xf>
    <xf numFmtId="0" fontId="12" fillId="12" borderId="7" xfId="0" applyFont="1" applyFill="1" applyBorder="1" applyAlignment="1">
      <alignment horizontal="center" vertical="center"/>
    </xf>
    <xf numFmtId="0" fontId="12" fillId="12" borderId="8" xfId="0" applyFont="1" applyFill="1" applyBorder="1" applyAlignment="1">
      <alignment horizontal="center" vertical="center"/>
    </xf>
    <xf numFmtId="0" fontId="12" fillId="1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66"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</dxfs>
  <tableStyles count="0" defaultTableStyle="TableStyleMedium2" defaultPivotStyle="PivotStyleLight16"/>
  <colors>
    <mruColors>
      <color rgb="FF51466A"/>
      <color rgb="FF291D42"/>
      <color rgb="FFFF7C80"/>
      <color rgb="FF83746D"/>
      <color rgb="FF695B50"/>
      <color rgb="FF7B6C4B"/>
      <color rgb="FF453126"/>
      <color rgb="FFCE9B68"/>
      <color rgb="FFF8F336"/>
      <color rgb="FFFBF8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83F4-5B81-4835-B94B-188E90A9AF44}">
  <dimension ref="A1:BE147"/>
  <sheetViews>
    <sheetView tabSelected="1" topLeftCell="B1" zoomScale="86" zoomScaleNormal="86" zoomScaleSheetLayoutView="55" workbookViewId="0">
      <selection activeCell="I7" sqref="I7:J7"/>
    </sheetView>
  </sheetViews>
  <sheetFormatPr baseColWidth="10" defaultColWidth="0" defaultRowHeight="14.25" zeroHeight="1" x14ac:dyDescent="0.2"/>
  <cols>
    <col min="1" max="1" width="19.42578125" style="1" hidden="1" customWidth="1"/>
    <col min="2" max="2" width="5.7109375" style="1" customWidth="1"/>
    <col min="3" max="3" width="13.28515625" style="1" customWidth="1"/>
    <col min="4" max="4" width="30.7109375" style="1" customWidth="1"/>
    <col min="5" max="5" width="4.7109375" style="2" customWidth="1"/>
    <col min="6" max="7" width="10.7109375" style="2" customWidth="1"/>
    <col min="8" max="8" width="20.7109375" style="2" customWidth="1"/>
    <col min="9" max="9" width="30.7109375" style="1" customWidth="1"/>
    <col min="10" max="10" width="8.7109375" style="1" customWidth="1"/>
    <col min="11" max="11" width="13.28515625" style="1" customWidth="1"/>
    <col min="12" max="12" width="10.7109375" style="1" customWidth="1"/>
    <col min="13" max="13" width="4.7109375" style="1" customWidth="1"/>
    <col min="14" max="14" width="22.140625" style="1" hidden="1" customWidth="1"/>
    <col min="15" max="15" width="20" style="1" hidden="1" customWidth="1"/>
    <col min="16" max="16" width="4.7109375" style="1" customWidth="1"/>
    <col min="17" max="18" width="30.7109375" style="1" customWidth="1"/>
    <col min="19" max="19" width="4.7109375" style="1" customWidth="1"/>
    <col min="20" max="20" width="10.7109375" style="1" customWidth="1"/>
    <col min="21" max="22" width="4.7109375" style="1" customWidth="1"/>
    <col min="23" max="24" width="30.7109375" style="1" customWidth="1"/>
    <col min="25" max="25" width="4.7109375" style="1" customWidth="1"/>
    <col min="26" max="26" width="10.7109375" style="1" customWidth="1"/>
    <col min="27" max="28" width="4.7109375" style="1" customWidth="1"/>
    <col min="29" max="30" width="30.7109375" style="1" customWidth="1"/>
    <col min="31" max="31" width="4.7109375" style="1" customWidth="1"/>
    <col min="32" max="32" width="10.7109375" style="1" customWidth="1"/>
    <col min="33" max="34" width="4.7109375" style="1" customWidth="1"/>
    <col min="35" max="36" width="30.7109375" style="1" customWidth="1"/>
    <col min="37" max="37" width="4.7109375" style="1" customWidth="1"/>
    <col min="38" max="38" width="10.7109375" style="1" customWidth="1"/>
    <col min="39" max="39" width="13.28515625" style="1" customWidth="1"/>
    <col min="40" max="41" width="4.7109375" style="1" customWidth="1"/>
    <col min="42" max="43" width="30.7109375" style="1" customWidth="1"/>
    <col min="44" max="44" width="10.7109375" style="1" customWidth="1"/>
    <col min="45" max="45" width="4.7109375" style="1" customWidth="1"/>
    <col min="46" max="46" width="13.28515625" style="1" customWidth="1"/>
    <col min="47" max="56" width="13.28515625" style="1" hidden="1" customWidth="1"/>
    <col min="57" max="57" width="5.7109375" style="1" customWidth="1"/>
    <col min="58" max="16384" width="11.42578125" style="1" hidden="1"/>
  </cols>
  <sheetData>
    <row r="1" spans="1:57" s="57" customFormat="1" ht="30" customHeight="1" thickBot="1" x14ac:dyDescent="0.25">
      <c r="A1" s="105" t="s">
        <v>124</v>
      </c>
      <c r="B1" s="170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3"/>
      <c r="AP1" s="163"/>
      <c r="AQ1" s="163"/>
      <c r="AR1" s="163"/>
      <c r="AS1" s="163"/>
      <c r="AT1" s="163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168"/>
    </row>
    <row r="2" spans="1:57" ht="15" customHeight="1" x14ac:dyDescent="0.2">
      <c r="A2" s="105" t="s">
        <v>125</v>
      </c>
      <c r="B2" s="171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75"/>
      <c r="M2" s="34"/>
      <c r="N2" s="34"/>
      <c r="O2" s="34"/>
      <c r="P2" s="34"/>
      <c r="Q2" s="34"/>
      <c r="R2" s="34"/>
      <c r="S2" s="34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172"/>
      <c r="AM2" s="35"/>
      <c r="AN2" s="35"/>
      <c r="AO2" s="35"/>
      <c r="AP2" s="35"/>
      <c r="AQ2" s="35"/>
      <c r="AR2" s="35"/>
      <c r="AS2" s="35"/>
      <c r="AT2" s="36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169"/>
    </row>
    <row r="3" spans="1:57" ht="15" customHeight="1" x14ac:dyDescent="0.2">
      <c r="A3" s="105" t="s">
        <v>126</v>
      </c>
      <c r="B3" s="171"/>
      <c r="C3" s="112"/>
      <c r="D3" s="113"/>
      <c r="E3" s="113"/>
      <c r="F3" s="113"/>
      <c r="G3" s="113"/>
      <c r="H3" s="113"/>
      <c r="I3" s="113"/>
      <c r="J3" s="113"/>
      <c r="K3" s="113"/>
      <c r="L3" s="176"/>
      <c r="M3" s="88"/>
      <c r="N3" s="88"/>
      <c r="O3" s="88"/>
      <c r="P3" s="88"/>
      <c r="Q3" s="88"/>
      <c r="R3" s="88"/>
      <c r="S3" s="88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173"/>
      <c r="AM3" s="63"/>
      <c r="AN3" s="63"/>
      <c r="AO3" s="63"/>
      <c r="AP3" s="63"/>
      <c r="AQ3" s="63"/>
      <c r="AR3" s="63"/>
      <c r="AS3" s="63"/>
      <c r="AT3" s="37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169"/>
    </row>
    <row r="4" spans="1:57" ht="15" customHeight="1" x14ac:dyDescent="0.2">
      <c r="A4" s="105" t="s">
        <v>127</v>
      </c>
      <c r="B4" s="171"/>
      <c r="C4" s="112"/>
      <c r="D4" s="113"/>
      <c r="E4" s="113"/>
      <c r="F4" s="113"/>
      <c r="G4" s="113"/>
      <c r="H4" s="113"/>
      <c r="I4" s="113"/>
      <c r="J4" s="113"/>
      <c r="K4" s="113"/>
      <c r="L4" s="176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173"/>
      <c r="AM4" s="63"/>
      <c r="AN4" s="63"/>
      <c r="AO4" s="63"/>
      <c r="AP4" s="63"/>
      <c r="AQ4" s="63"/>
      <c r="AR4" s="63"/>
      <c r="AS4" s="63"/>
      <c r="AT4" s="37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169"/>
    </row>
    <row r="5" spans="1:57" ht="15" customHeight="1" x14ac:dyDescent="0.2">
      <c r="A5" s="105" t="s">
        <v>128</v>
      </c>
      <c r="B5" s="171"/>
      <c r="C5" s="112"/>
      <c r="D5" s="113"/>
      <c r="E5" s="113"/>
      <c r="F5" s="113"/>
      <c r="G5" s="113"/>
      <c r="H5" s="113"/>
      <c r="I5" s="113"/>
      <c r="J5" s="113"/>
      <c r="K5" s="113"/>
      <c r="L5" s="176"/>
      <c r="M5" s="107" t="s">
        <v>41</v>
      </c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73"/>
      <c r="AM5" s="179" t="s">
        <v>122</v>
      </c>
      <c r="AN5" s="180"/>
      <c r="AO5" s="180"/>
      <c r="AP5" s="180"/>
      <c r="AQ5" s="180"/>
      <c r="AR5" s="180"/>
      <c r="AS5" s="180"/>
      <c r="AT5" s="181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169"/>
    </row>
    <row r="6" spans="1:57" ht="24.95" customHeight="1" thickBot="1" x14ac:dyDescent="0.25">
      <c r="A6" s="105" t="s">
        <v>129</v>
      </c>
      <c r="B6" s="171"/>
      <c r="C6" s="114"/>
      <c r="D6" s="115"/>
      <c r="E6" s="115"/>
      <c r="F6" s="115"/>
      <c r="G6" s="115"/>
      <c r="H6" s="115"/>
      <c r="I6" s="115"/>
      <c r="J6" s="115"/>
      <c r="K6" s="115"/>
      <c r="L6" s="176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73"/>
      <c r="AM6" s="182"/>
      <c r="AN6" s="183"/>
      <c r="AO6" s="183"/>
      <c r="AP6" s="183"/>
      <c r="AQ6" s="183"/>
      <c r="AR6" s="183"/>
      <c r="AS6" s="183"/>
      <c r="AT6" s="184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169"/>
    </row>
    <row r="7" spans="1:57" ht="39.950000000000003" customHeight="1" thickTop="1" thickBot="1" x14ac:dyDescent="0.25">
      <c r="A7" s="105" t="s">
        <v>93</v>
      </c>
      <c r="B7" s="171"/>
      <c r="C7" s="86"/>
      <c r="D7" s="104" t="s">
        <v>123</v>
      </c>
      <c r="E7" s="104"/>
      <c r="F7" s="104"/>
      <c r="G7" s="104"/>
      <c r="H7" s="104"/>
      <c r="I7" s="132">
        <v>45658</v>
      </c>
      <c r="J7" s="132"/>
      <c r="K7" s="87"/>
      <c r="L7" s="176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73"/>
      <c r="AM7" s="185"/>
      <c r="AN7" s="186"/>
      <c r="AO7" s="186"/>
      <c r="AP7" s="186"/>
      <c r="AQ7" s="186"/>
      <c r="AR7" s="186"/>
      <c r="AS7" s="186"/>
      <c r="AT7" s="187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169"/>
    </row>
    <row r="8" spans="1:57" ht="5.0999999999999996" customHeight="1" thickTop="1" x14ac:dyDescent="0.2">
      <c r="A8" s="105" t="s">
        <v>130</v>
      </c>
      <c r="B8" s="171"/>
      <c r="C8" s="133"/>
      <c r="D8" s="134"/>
      <c r="E8" s="134"/>
      <c r="F8" s="134"/>
      <c r="G8" s="134"/>
      <c r="H8" s="134"/>
      <c r="I8" s="134"/>
      <c r="J8" s="134"/>
      <c r="K8" s="134"/>
      <c r="L8" s="176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G8" s="63"/>
      <c r="AH8" s="63"/>
      <c r="AI8" s="63"/>
      <c r="AJ8" s="63"/>
      <c r="AK8" s="63"/>
      <c r="AL8" s="173"/>
      <c r="AM8" s="63"/>
      <c r="AN8" s="63"/>
      <c r="AO8" s="63"/>
      <c r="AP8" s="63"/>
      <c r="AQ8" s="63"/>
      <c r="AR8" s="63"/>
      <c r="AS8" s="63"/>
      <c r="AT8" s="37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169"/>
    </row>
    <row r="9" spans="1:57" ht="30" customHeight="1" x14ac:dyDescent="0.35">
      <c r="A9" s="105" t="s">
        <v>131</v>
      </c>
      <c r="B9" s="171"/>
      <c r="C9" s="38"/>
      <c r="D9" s="106"/>
      <c r="E9" s="106"/>
      <c r="F9" s="89"/>
      <c r="G9" s="90"/>
      <c r="H9" s="106"/>
      <c r="I9" s="106"/>
      <c r="J9" s="106"/>
      <c r="K9" s="63"/>
      <c r="L9" s="176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173"/>
      <c r="AM9" s="63"/>
      <c r="AN9" s="63"/>
      <c r="AO9" s="63"/>
      <c r="AP9" s="63"/>
      <c r="AQ9" s="63"/>
      <c r="AR9" s="63"/>
      <c r="AS9" s="63"/>
      <c r="AT9" s="37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169"/>
    </row>
    <row r="10" spans="1:57" ht="30" customHeight="1" x14ac:dyDescent="0.2">
      <c r="A10" s="105" t="s">
        <v>132</v>
      </c>
      <c r="B10" s="171"/>
      <c r="C10" s="38"/>
      <c r="D10" s="63"/>
      <c r="E10" s="90"/>
      <c r="F10" s="89"/>
      <c r="G10" s="90"/>
      <c r="H10" s="90"/>
      <c r="I10" s="63"/>
      <c r="J10" s="63"/>
      <c r="K10" s="63"/>
      <c r="L10" s="176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173"/>
      <c r="AM10" s="63"/>
      <c r="AN10" s="63"/>
      <c r="AO10" s="63"/>
      <c r="AP10" s="63"/>
      <c r="AQ10" s="63"/>
      <c r="AR10" s="63"/>
      <c r="AS10" s="63"/>
      <c r="AT10" s="37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169"/>
    </row>
    <row r="11" spans="1:57" ht="30" customHeight="1" x14ac:dyDescent="0.2">
      <c r="A11" s="105" t="s">
        <v>133</v>
      </c>
      <c r="B11" s="171"/>
      <c r="C11" s="38"/>
      <c r="D11" s="63"/>
      <c r="E11" s="90"/>
      <c r="F11" s="89"/>
      <c r="G11" s="90"/>
      <c r="H11" s="90"/>
      <c r="I11" s="63"/>
      <c r="J11" s="63"/>
      <c r="K11" s="63"/>
      <c r="L11" s="176"/>
      <c r="M11" s="124" t="s">
        <v>37</v>
      </c>
      <c r="N11" s="124"/>
      <c r="O11" s="124"/>
      <c r="P11" s="124"/>
      <c r="Q11" s="124"/>
      <c r="R11" s="124"/>
      <c r="S11" s="125"/>
      <c r="T11" s="63"/>
      <c r="U11" s="123" t="s">
        <v>44</v>
      </c>
      <c r="V11" s="124"/>
      <c r="W11" s="124"/>
      <c r="X11" s="124"/>
      <c r="Y11" s="125"/>
      <c r="Z11" s="63"/>
      <c r="AA11" s="123" t="s">
        <v>120</v>
      </c>
      <c r="AB11" s="124"/>
      <c r="AC11" s="124"/>
      <c r="AD11" s="124"/>
      <c r="AE11" s="125"/>
      <c r="AF11" s="63"/>
      <c r="AG11" s="123" t="s">
        <v>40</v>
      </c>
      <c r="AH11" s="124"/>
      <c r="AI11" s="124"/>
      <c r="AJ11" s="124"/>
      <c r="AK11" s="124"/>
      <c r="AL11" s="173"/>
      <c r="AM11" s="63"/>
      <c r="AN11" s="123" t="s">
        <v>53</v>
      </c>
      <c r="AO11" s="124"/>
      <c r="AP11" s="124"/>
      <c r="AQ11" s="124"/>
      <c r="AR11" s="124"/>
      <c r="AS11" s="125"/>
      <c r="AT11" s="37"/>
      <c r="BA11" s="63"/>
      <c r="BB11" s="63"/>
      <c r="BC11" s="63"/>
      <c r="BD11" s="63"/>
      <c r="BE11" s="169"/>
    </row>
    <row r="12" spans="1:57" ht="30" customHeight="1" x14ac:dyDescent="0.2">
      <c r="A12" s="105" t="s">
        <v>134</v>
      </c>
      <c r="B12" s="171"/>
      <c r="C12" s="38"/>
      <c r="D12" s="63"/>
      <c r="E12" s="90"/>
      <c r="F12" s="89"/>
      <c r="G12" s="90"/>
      <c r="H12" s="90"/>
      <c r="I12" s="63"/>
      <c r="J12" s="63"/>
      <c r="K12" s="63"/>
      <c r="L12" s="176"/>
      <c r="M12" s="127"/>
      <c r="N12" s="127"/>
      <c r="O12" s="127"/>
      <c r="P12" s="127"/>
      <c r="Q12" s="127"/>
      <c r="R12" s="127"/>
      <c r="S12" s="128"/>
      <c r="T12" s="63"/>
      <c r="U12" s="126"/>
      <c r="V12" s="127"/>
      <c r="W12" s="127"/>
      <c r="X12" s="127"/>
      <c r="Y12" s="128"/>
      <c r="Z12" s="63"/>
      <c r="AA12" s="126"/>
      <c r="AB12" s="127"/>
      <c r="AC12" s="127"/>
      <c r="AD12" s="127"/>
      <c r="AE12" s="128"/>
      <c r="AF12" s="63"/>
      <c r="AG12" s="126"/>
      <c r="AH12" s="127"/>
      <c r="AI12" s="127"/>
      <c r="AJ12" s="127"/>
      <c r="AK12" s="127"/>
      <c r="AL12" s="173"/>
      <c r="AM12" s="63"/>
      <c r="AN12" s="126"/>
      <c r="AO12" s="127"/>
      <c r="AP12" s="127"/>
      <c r="AQ12" s="127"/>
      <c r="AR12" s="127"/>
      <c r="AS12" s="128"/>
      <c r="AT12" s="37"/>
      <c r="BA12" s="63"/>
      <c r="BB12" s="63"/>
      <c r="BC12" s="63"/>
      <c r="BD12" s="63"/>
      <c r="BE12" s="169"/>
    </row>
    <row r="13" spans="1:57" ht="25.5" customHeight="1" x14ac:dyDescent="0.2">
      <c r="A13" s="105" t="s">
        <v>135</v>
      </c>
      <c r="B13" s="171"/>
      <c r="C13" s="38"/>
      <c r="D13" s="116" t="s">
        <v>2</v>
      </c>
      <c r="E13" s="118"/>
      <c r="F13" s="89"/>
      <c r="G13" s="90"/>
      <c r="H13" s="116" t="s">
        <v>100</v>
      </c>
      <c r="I13" s="117"/>
      <c r="J13" s="118"/>
      <c r="K13" s="63"/>
      <c r="L13" s="176"/>
      <c r="M13" s="130"/>
      <c r="N13" s="130"/>
      <c r="O13" s="130"/>
      <c r="P13" s="130"/>
      <c r="Q13" s="130"/>
      <c r="R13" s="130"/>
      <c r="S13" s="131"/>
      <c r="T13" s="63"/>
      <c r="U13" s="129"/>
      <c r="V13" s="130"/>
      <c r="W13" s="130"/>
      <c r="X13" s="130"/>
      <c r="Y13" s="131"/>
      <c r="Z13" s="63"/>
      <c r="AA13" s="129"/>
      <c r="AB13" s="130"/>
      <c r="AC13" s="130"/>
      <c r="AD13" s="130"/>
      <c r="AE13" s="131"/>
      <c r="AF13" s="63"/>
      <c r="AG13" s="129"/>
      <c r="AH13" s="130"/>
      <c r="AI13" s="130"/>
      <c r="AJ13" s="130"/>
      <c r="AK13" s="130"/>
      <c r="AL13" s="173"/>
      <c r="AM13" s="63"/>
      <c r="AN13" s="129"/>
      <c r="AO13" s="130"/>
      <c r="AP13" s="130"/>
      <c r="AQ13" s="130"/>
      <c r="AR13" s="130"/>
      <c r="AS13" s="131"/>
      <c r="AT13" s="37"/>
      <c r="BA13" s="63"/>
      <c r="BB13" s="63"/>
      <c r="BC13" s="63"/>
      <c r="BD13" s="63"/>
      <c r="BE13" s="169"/>
    </row>
    <row r="14" spans="1:57" ht="24.95" customHeight="1" x14ac:dyDescent="0.2">
      <c r="A14" s="105" t="s">
        <v>136</v>
      </c>
      <c r="B14" s="171"/>
      <c r="C14" s="38"/>
      <c r="D14" s="119"/>
      <c r="E14" s="122"/>
      <c r="F14" s="89"/>
      <c r="G14" s="90"/>
      <c r="H14" s="119"/>
      <c r="I14" s="120"/>
      <c r="J14" s="121"/>
      <c r="K14" s="63"/>
      <c r="L14" s="176"/>
      <c r="M14" s="136"/>
      <c r="N14" s="136"/>
      <c r="O14" s="136"/>
      <c r="P14" s="136"/>
      <c r="Q14" s="136"/>
      <c r="R14" s="136"/>
      <c r="S14" s="137"/>
      <c r="T14" s="63"/>
      <c r="U14" s="135"/>
      <c r="V14" s="136"/>
      <c r="W14" s="136"/>
      <c r="X14" s="136"/>
      <c r="Y14" s="137"/>
      <c r="Z14" s="63"/>
      <c r="AA14" s="135"/>
      <c r="AB14" s="136"/>
      <c r="AC14" s="136"/>
      <c r="AD14" s="136"/>
      <c r="AE14" s="137"/>
      <c r="AF14" s="63"/>
      <c r="AG14" s="135"/>
      <c r="AH14" s="136"/>
      <c r="AI14" s="136"/>
      <c r="AJ14" s="136"/>
      <c r="AK14" s="136"/>
      <c r="AL14" s="173"/>
      <c r="AM14" s="63"/>
      <c r="AN14" s="135"/>
      <c r="AO14" s="136"/>
      <c r="AP14" s="136"/>
      <c r="AQ14" s="136"/>
      <c r="AR14" s="136"/>
      <c r="AS14" s="137"/>
      <c r="AT14" s="37"/>
      <c r="BA14" s="63"/>
      <c r="BB14" s="63"/>
      <c r="BC14" s="63"/>
      <c r="BD14" s="63"/>
      <c r="BE14" s="169"/>
    </row>
    <row r="15" spans="1:57" ht="24.95" customHeight="1" x14ac:dyDescent="0.3">
      <c r="A15" s="105" t="s">
        <v>137</v>
      </c>
      <c r="B15" s="171"/>
      <c r="C15" s="38"/>
      <c r="D15" s="59" t="s">
        <v>3</v>
      </c>
      <c r="E15" s="14">
        <v>0</v>
      </c>
      <c r="F15" s="89"/>
      <c r="G15" s="90"/>
      <c r="H15" s="50" t="s">
        <v>59</v>
      </c>
      <c r="I15" s="29" t="str">
        <f>IF(ISBLANK(AQ17),"TBD",AQ17)</f>
        <v>TBD</v>
      </c>
      <c r="J15" s="47" t="s">
        <v>19</v>
      </c>
      <c r="K15" s="63"/>
      <c r="L15" s="176"/>
      <c r="M15" s="152"/>
      <c r="N15" s="91"/>
      <c r="O15" s="91"/>
      <c r="P15" s="17">
        <v>4</v>
      </c>
      <c r="Q15" s="157" t="s">
        <v>30</v>
      </c>
      <c r="R15" s="158"/>
      <c r="S15" s="142"/>
      <c r="T15" s="63"/>
      <c r="U15" s="141"/>
      <c r="V15" s="71">
        <v>4</v>
      </c>
      <c r="W15" s="144" t="s">
        <v>30</v>
      </c>
      <c r="X15" s="144"/>
      <c r="Y15" s="141"/>
      <c r="Z15" s="63"/>
      <c r="AA15" s="141"/>
      <c r="AB15" s="4">
        <v>4</v>
      </c>
      <c r="AC15" s="144" t="s">
        <v>30</v>
      </c>
      <c r="AD15" s="145"/>
      <c r="AE15" s="141"/>
      <c r="AF15" s="63"/>
      <c r="AG15" s="141"/>
      <c r="AH15" s="4">
        <v>6</v>
      </c>
      <c r="AI15" s="144" t="s">
        <v>30</v>
      </c>
      <c r="AJ15" s="145"/>
      <c r="AK15" s="165"/>
      <c r="AL15" s="173"/>
      <c r="AM15" s="63"/>
      <c r="AN15" s="141"/>
      <c r="AO15" s="4">
        <v>8</v>
      </c>
      <c r="AP15" s="150" t="s">
        <v>30</v>
      </c>
      <c r="AQ15" s="150"/>
      <c r="AR15" s="151"/>
      <c r="AS15" s="141"/>
      <c r="AT15" s="37"/>
      <c r="BA15" s="63"/>
      <c r="BB15" s="63"/>
      <c r="BC15" s="63"/>
      <c r="BD15" s="63"/>
      <c r="BE15" s="169"/>
    </row>
    <row r="16" spans="1:57" ht="24.95" customHeight="1" x14ac:dyDescent="0.2">
      <c r="A16" s="105" t="s">
        <v>138</v>
      </c>
      <c r="B16" s="171"/>
      <c r="C16" s="38"/>
      <c r="D16" s="60" t="s">
        <v>4</v>
      </c>
      <c r="E16" s="15">
        <v>0</v>
      </c>
      <c r="F16" s="89"/>
      <c r="G16" s="90"/>
      <c r="H16" s="53" t="s">
        <v>59</v>
      </c>
      <c r="I16" s="31" t="str">
        <f>IF(ISBLANK(AQ18),"TBD",AQ18)</f>
        <v>TBD</v>
      </c>
      <c r="J16" s="48" t="s">
        <v>20</v>
      </c>
      <c r="K16" s="63"/>
      <c r="L16" s="176"/>
      <c r="M16" s="152"/>
      <c r="N16" s="91"/>
      <c r="O16" s="91">
        <f>ROW()</f>
        <v>16</v>
      </c>
      <c r="P16" s="3" t="s">
        <v>31</v>
      </c>
      <c r="Q16" s="14" t="s">
        <v>1</v>
      </c>
      <c r="R16" s="3" t="s">
        <v>32</v>
      </c>
      <c r="S16" s="142"/>
      <c r="T16" s="63"/>
      <c r="U16" s="142"/>
      <c r="V16" s="72" t="s">
        <v>31</v>
      </c>
      <c r="W16" s="14" t="s">
        <v>1</v>
      </c>
      <c r="X16" s="67" t="s">
        <v>32</v>
      </c>
      <c r="Y16" s="142"/>
      <c r="Z16" s="63"/>
      <c r="AA16" s="142"/>
      <c r="AB16" s="3" t="s">
        <v>31</v>
      </c>
      <c r="AC16" s="14" t="s">
        <v>1</v>
      </c>
      <c r="AD16" s="14" t="s">
        <v>32</v>
      </c>
      <c r="AE16" s="142"/>
      <c r="AF16" s="63"/>
      <c r="AG16" s="142"/>
      <c r="AH16" s="3" t="s">
        <v>31</v>
      </c>
      <c r="AI16" s="14" t="s">
        <v>1</v>
      </c>
      <c r="AJ16" s="3" t="s">
        <v>32</v>
      </c>
      <c r="AK16" s="166"/>
      <c r="AL16" s="173"/>
      <c r="AM16" s="63"/>
      <c r="AN16" s="142"/>
      <c r="AO16" s="3" t="s">
        <v>31</v>
      </c>
      <c r="AP16" s="14" t="s">
        <v>1</v>
      </c>
      <c r="AQ16" s="14" t="s">
        <v>32</v>
      </c>
      <c r="AR16" s="3" t="s">
        <v>58</v>
      </c>
      <c r="AS16" s="142"/>
      <c r="AT16" s="37"/>
      <c r="BA16" s="63"/>
      <c r="BB16" s="63"/>
      <c r="BC16" s="63"/>
      <c r="BD16" s="63"/>
      <c r="BE16" s="169"/>
    </row>
    <row r="17" spans="1:57" ht="24.95" customHeight="1" x14ac:dyDescent="0.2">
      <c r="A17" s="105" t="s">
        <v>80</v>
      </c>
      <c r="B17" s="171"/>
      <c r="C17" s="38"/>
      <c r="D17" s="60" t="s">
        <v>5</v>
      </c>
      <c r="E17" s="15">
        <v>0</v>
      </c>
      <c r="F17" s="89"/>
      <c r="G17" s="90"/>
      <c r="H17" s="54" t="s">
        <v>59</v>
      </c>
      <c r="I17" s="32" t="str">
        <f>IF(ISBLANK(AQ19),"TBD",AQ19)</f>
        <v>TBD</v>
      </c>
      <c r="J17" s="49" t="s">
        <v>21</v>
      </c>
      <c r="K17" s="63"/>
      <c r="L17" s="176"/>
      <c r="M17" s="152"/>
      <c r="N17" s="91" t="str">
        <f t="shared" ref="N17:N40" si="0">IF(E15=2,D15 &amp; "  [DQ]",D15)</f>
        <v>Participant #01</v>
      </c>
      <c r="O17" s="91" t="str">
        <f t="shared" ref="O17:O40" si="1">IF(E15&gt;=1,ROW()-$O$16,"")</f>
        <v/>
      </c>
      <c r="P17" s="138" t="s">
        <v>33</v>
      </c>
      <c r="Q17" s="10" t="str" cm="1">
        <f t="array" ref="Q17">IFERROR(INDEX($N$17:$N$40,SMALL($O$17:$O$40,ROW(B1))),"-")</f>
        <v>-</v>
      </c>
      <c r="R17" s="5"/>
      <c r="S17" s="142"/>
      <c r="T17" s="63"/>
      <c r="U17" s="142"/>
      <c r="V17" s="154" t="s">
        <v>45</v>
      </c>
      <c r="W17" s="10" t="str">
        <f>IF(ISBLANK($R$17),"A1",$R$17)</f>
        <v>A1</v>
      </c>
      <c r="X17" s="68"/>
      <c r="Y17" s="142"/>
      <c r="Z17" s="63"/>
      <c r="AA17" s="142"/>
      <c r="AB17" s="146" t="s">
        <v>48</v>
      </c>
      <c r="AC17" s="20" t="str">
        <f>IF(ISBLANK($X$17),"G1",$X$17)</f>
        <v>G1</v>
      </c>
      <c r="AD17" s="8"/>
      <c r="AE17" s="152"/>
      <c r="AF17" s="63"/>
      <c r="AG17" s="142"/>
      <c r="AH17" s="138" t="s">
        <v>51</v>
      </c>
      <c r="AI17" s="10" t="str">
        <f>IF(ISBLANK($AD$17),"J1",$AD$17)</f>
        <v>J1</v>
      </c>
      <c r="AJ17" s="5"/>
      <c r="AK17" s="166"/>
      <c r="AL17" s="173"/>
      <c r="AM17" s="63"/>
      <c r="AN17" s="142"/>
      <c r="AO17" s="138" t="s">
        <v>54</v>
      </c>
      <c r="AP17" s="20" t="str">
        <f>IF(ISBLANK($AJ$17),"WF1",$AJ$17)</f>
        <v>WF1</v>
      </c>
      <c r="AQ17" s="24"/>
      <c r="AR17" s="44">
        <v>0</v>
      </c>
      <c r="AS17" s="152"/>
      <c r="AT17" s="37"/>
      <c r="BA17" s="63"/>
      <c r="BB17" s="63"/>
      <c r="BC17" s="63"/>
      <c r="BD17" s="63"/>
      <c r="BE17" s="169"/>
    </row>
    <row r="18" spans="1:57" ht="24.95" customHeight="1" x14ac:dyDescent="0.2">
      <c r="A18" s="105" t="s">
        <v>139</v>
      </c>
      <c r="B18" s="171"/>
      <c r="C18" s="39"/>
      <c r="D18" s="60" t="s">
        <v>6</v>
      </c>
      <c r="E18" s="15">
        <v>0</v>
      </c>
      <c r="F18" s="89"/>
      <c r="G18" s="89"/>
      <c r="H18" s="55" t="s">
        <v>59</v>
      </c>
      <c r="I18" s="27" t="str">
        <f>IF(ISBLANK(AQ20),"TBD",AQ20)</f>
        <v>TBD</v>
      </c>
      <c r="J18" s="30" t="s">
        <v>22</v>
      </c>
      <c r="K18" s="63"/>
      <c r="L18" s="176"/>
      <c r="M18" s="152"/>
      <c r="N18" s="91" t="str">
        <f t="shared" si="0"/>
        <v>Participant #02</v>
      </c>
      <c r="O18" s="91" t="str">
        <f t="shared" si="1"/>
        <v/>
      </c>
      <c r="P18" s="139"/>
      <c r="Q18" s="11" t="str" cm="1">
        <f t="array" ref="Q18">IFERROR(INDEX($N$17:$N$40,SMALL($O$17:$O$40,ROW(B7))),"-")</f>
        <v>-</v>
      </c>
      <c r="R18" s="13"/>
      <c r="S18" s="142"/>
      <c r="T18" s="63"/>
      <c r="U18" s="142"/>
      <c r="V18" s="155"/>
      <c r="W18" s="11" t="str">
        <f>IF(ISBLANK($R$29),"D1",$R$29)</f>
        <v>D1</v>
      </c>
      <c r="X18" s="69"/>
      <c r="Y18" s="142"/>
      <c r="Z18" s="63"/>
      <c r="AA18" s="142"/>
      <c r="AB18" s="147"/>
      <c r="AC18" s="21" t="str">
        <f>IF(ISBLANK($X$25),"I1",$X$25)</f>
        <v>I1</v>
      </c>
      <c r="AD18" s="9"/>
      <c r="AE18" s="152"/>
      <c r="AF18" s="63"/>
      <c r="AG18" s="142"/>
      <c r="AH18" s="139"/>
      <c r="AI18" s="11" t="str">
        <f>IF(ISBLANK($AD$20),"K1",$AD$20)</f>
        <v>K1</v>
      </c>
      <c r="AJ18" s="13"/>
      <c r="AK18" s="166"/>
      <c r="AL18" s="173"/>
      <c r="AM18" s="63"/>
      <c r="AN18" s="142"/>
      <c r="AO18" s="139"/>
      <c r="AP18" s="21" t="str">
        <f>IF(ISBLANK($AJ$18),"WF2",$AJ$18)</f>
        <v>WF2</v>
      </c>
      <c r="AQ18" s="25"/>
      <c r="AR18" s="45">
        <v>0</v>
      </c>
      <c r="AS18" s="152"/>
      <c r="AT18" s="37"/>
      <c r="BA18" s="63"/>
      <c r="BB18" s="63"/>
      <c r="BC18" s="63"/>
      <c r="BD18" s="63"/>
      <c r="BE18" s="169"/>
    </row>
    <row r="19" spans="1:57" ht="24.95" customHeight="1" x14ac:dyDescent="0.2">
      <c r="A19" s="105" t="s">
        <v>140</v>
      </c>
      <c r="B19" s="171"/>
      <c r="C19" s="39"/>
      <c r="D19" s="60" t="s">
        <v>7</v>
      </c>
      <c r="E19" s="15">
        <v>0</v>
      </c>
      <c r="F19" s="89"/>
      <c r="G19" s="89"/>
      <c r="H19" s="55" t="s">
        <v>59</v>
      </c>
      <c r="I19" s="27" t="str">
        <f>IF(ISBLANK(AQ31),"TBD",AQ31)</f>
        <v>TBD</v>
      </c>
      <c r="J19" s="30" t="s">
        <v>23</v>
      </c>
      <c r="K19" s="63"/>
      <c r="L19" s="176"/>
      <c r="M19" s="152"/>
      <c r="N19" s="91" t="str">
        <f t="shared" si="0"/>
        <v>Participant #03</v>
      </c>
      <c r="O19" s="91" t="str">
        <f t="shared" si="1"/>
        <v/>
      </c>
      <c r="P19" s="139"/>
      <c r="Q19" s="11" t="str" cm="1">
        <f t="array" ref="Q19">IFERROR(INDEX($N$17:$N$40,SMALL($O$17:$O$40,ROW(B13))),"-")</f>
        <v>-</v>
      </c>
      <c r="R19" s="6"/>
      <c r="S19" s="142"/>
      <c r="T19" s="63"/>
      <c r="U19" s="142"/>
      <c r="V19" s="155"/>
      <c r="W19" s="11" t="str">
        <f>IF(ISBLANK($R$22),"B2",$R$22)</f>
        <v>B2</v>
      </c>
      <c r="X19" s="92"/>
      <c r="Y19" s="142"/>
      <c r="Z19" s="63"/>
      <c r="AA19" s="142"/>
      <c r="AB19" s="148"/>
      <c r="AC19" s="11" t="str">
        <f>IF(ISBLANK($X$22),"H2",$X$22)</f>
        <v>H2</v>
      </c>
      <c r="AD19" s="6"/>
      <c r="AE19" s="142"/>
      <c r="AF19" s="63"/>
      <c r="AG19" s="142"/>
      <c r="AH19" s="139"/>
      <c r="AI19" s="11" t="str">
        <f>IF(ISBLANK($AD$18),"J2",$AD$18)</f>
        <v>J2</v>
      </c>
      <c r="AJ19" s="6"/>
      <c r="AK19" s="166"/>
      <c r="AL19" s="173"/>
      <c r="AM19" s="63"/>
      <c r="AN19" s="142"/>
      <c r="AO19" s="139"/>
      <c r="AP19" s="21" t="str">
        <f>IF(ISBLANK($AJ$55),"LF1",$AJ$55)</f>
        <v>LF1</v>
      </c>
      <c r="AQ19" s="26"/>
      <c r="AR19" s="46">
        <v>0</v>
      </c>
      <c r="AS19" s="152"/>
      <c r="AT19" s="37"/>
      <c r="BA19" s="63"/>
      <c r="BB19" s="63"/>
      <c r="BC19" s="63"/>
      <c r="BD19" s="63"/>
      <c r="BE19" s="169"/>
    </row>
    <row r="20" spans="1:57" ht="24.95" customHeight="1" x14ac:dyDescent="0.2">
      <c r="A20" s="105" t="s">
        <v>141</v>
      </c>
      <c r="B20" s="171"/>
      <c r="C20" s="39"/>
      <c r="D20" s="60" t="s">
        <v>8</v>
      </c>
      <c r="E20" s="15">
        <v>0</v>
      </c>
      <c r="F20" s="89"/>
      <c r="G20" s="89"/>
      <c r="H20" s="55" t="s">
        <v>59</v>
      </c>
      <c r="I20" s="27" t="str">
        <f>IF(ISBLANK(AQ32),"TBD",AQ32)</f>
        <v>TBD</v>
      </c>
      <c r="J20" s="30" t="s">
        <v>24</v>
      </c>
      <c r="K20" s="63"/>
      <c r="L20" s="176"/>
      <c r="M20" s="152"/>
      <c r="N20" s="91" t="str">
        <f t="shared" si="0"/>
        <v>Participant #04</v>
      </c>
      <c r="O20" s="91" t="str">
        <f t="shared" si="1"/>
        <v/>
      </c>
      <c r="P20" s="140"/>
      <c r="Q20" s="12" t="str" cm="1">
        <f t="array" ref="Q20">IFERROR(INDEX($N$17:$N$40,SMALL($O$17:$O$40,ROW(B19))),"-")</f>
        <v>-</v>
      </c>
      <c r="R20" s="7"/>
      <c r="S20" s="142"/>
      <c r="T20" s="63"/>
      <c r="U20" s="142"/>
      <c r="V20" s="156"/>
      <c r="W20" s="12" t="str">
        <f>IF(ISBLANK($R$34),"E2",$R$34)</f>
        <v>E2</v>
      </c>
      <c r="X20" s="70"/>
      <c r="Y20" s="142"/>
      <c r="Z20" s="63"/>
      <c r="AA20" s="142"/>
      <c r="AB20" s="139" t="s">
        <v>56</v>
      </c>
      <c r="AC20" s="20" t="str">
        <f>IF(ISBLANK($X$21),"H1",$X$21)</f>
        <v>H1</v>
      </c>
      <c r="AD20" s="8"/>
      <c r="AE20" s="152"/>
      <c r="AF20" s="63"/>
      <c r="AG20" s="143"/>
      <c r="AH20" s="140"/>
      <c r="AI20" s="12" t="str">
        <f>IF(ISBLANK($AD$21),"K2",$AD$21)</f>
        <v>K2</v>
      </c>
      <c r="AJ20" s="7"/>
      <c r="AK20" s="167"/>
      <c r="AL20" s="173"/>
      <c r="AM20" s="63"/>
      <c r="AN20" s="143"/>
      <c r="AO20" s="140"/>
      <c r="AP20" s="22" t="str">
        <f>IF(ISBLANK($AJ$56),"LF2",$AJ$56)</f>
        <v>LF2</v>
      </c>
      <c r="AQ20" s="9"/>
      <c r="AR20" s="13">
        <v>0</v>
      </c>
      <c r="AS20" s="164"/>
      <c r="AT20" s="37"/>
      <c r="BA20" s="63"/>
      <c r="BB20" s="63"/>
      <c r="BC20" s="63"/>
      <c r="BD20" s="63"/>
      <c r="BE20" s="169"/>
    </row>
    <row r="21" spans="1:57" ht="24.95" customHeight="1" x14ac:dyDescent="0.2">
      <c r="A21" s="105" t="s">
        <v>142</v>
      </c>
      <c r="B21" s="171"/>
      <c r="C21" s="39"/>
      <c r="D21" s="60" t="s">
        <v>9</v>
      </c>
      <c r="E21" s="15">
        <v>0</v>
      </c>
      <c r="F21" s="89"/>
      <c r="G21" s="89"/>
      <c r="H21" s="55" t="s">
        <v>59</v>
      </c>
      <c r="I21" s="27" t="str">
        <f>IF(ISBLANK(AQ33),"TBD",AQ33)</f>
        <v>TBD</v>
      </c>
      <c r="J21" s="30" t="s">
        <v>25</v>
      </c>
      <c r="K21" s="63"/>
      <c r="L21" s="176"/>
      <c r="M21" s="152"/>
      <c r="N21" s="91" t="str">
        <f t="shared" si="0"/>
        <v>Participant #05</v>
      </c>
      <c r="O21" s="91" t="str">
        <f t="shared" si="1"/>
        <v/>
      </c>
      <c r="P21" s="138" t="s">
        <v>34</v>
      </c>
      <c r="Q21" s="10" t="str" cm="1">
        <f t="array" ref="Q21">IFERROR(INDEX($N$17:$N$40,SMALL($O$17:$O$40,ROW(B2))),"-")</f>
        <v>-</v>
      </c>
      <c r="R21" s="5"/>
      <c r="S21" s="142"/>
      <c r="T21" s="63"/>
      <c r="U21" s="142"/>
      <c r="V21" s="154" t="s">
        <v>46</v>
      </c>
      <c r="W21" s="11" t="str">
        <f>IF(ISBLANK($R$21),"B1",$R$21)</f>
        <v>B1</v>
      </c>
      <c r="X21" s="68"/>
      <c r="Y21" s="142"/>
      <c r="Z21" s="63"/>
      <c r="AA21" s="142"/>
      <c r="AB21" s="139"/>
      <c r="AC21" s="21" t="str">
        <f>IF(ISBLANK($X$18),"G2",$X$18)</f>
        <v>G2</v>
      </c>
      <c r="AD21" s="9"/>
      <c r="AE21" s="152"/>
      <c r="AF21" s="63"/>
      <c r="AG21" s="135"/>
      <c r="AH21" s="136"/>
      <c r="AI21" s="136"/>
      <c r="AJ21" s="136"/>
      <c r="AK21" s="136"/>
      <c r="AL21" s="173"/>
      <c r="AM21" s="63"/>
      <c r="AN21" s="135"/>
      <c r="AO21" s="136"/>
      <c r="AP21" s="149"/>
      <c r="AQ21" s="149"/>
      <c r="AR21" s="149"/>
      <c r="AS21" s="137"/>
      <c r="AT21" s="37"/>
      <c r="BA21" s="63"/>
      <c r="BB21" s="63"/>
      <c r="BC21" s="63"/>
      <c r="BD21" s="63"/>
      <c r="BE21" s="169"/>
    </row>
    <row r="22" spans="1:57" ht="24.95" customHeight="1" x14ac:dyDescent="0.2">
      <c r="A22" s="105" t="s">
        <v>143</v>
      </c>
      <c r="B22" s="171"/>
      <c r="C22" s="39"/>
      <c r="D22" s="60" t="s">
        <v>10</v>
      </c>
      <c r="E22" s="15">
        <v>0</v>
      </c>
      <c r="F22" s="89"/>
      <c r="G22" s="89"/>
      <c r="H22" s="55" t="s">
        <v>59</v>
      </c>
      <c r="I22" s="27" t="str">
        <f>IF(ISBLANK(AQ34),"TBD",AQ34)</f>
        <v>TBD</v>
      </c>
      <c r="J22" s="30" t="s">
        <v>26</v>
      </c>
      <c r="K22" s="63"/>
      <c r="L22" s="176"/>
      <c r="M22" s="152"/>
      <c r="N22" s="91" t="str">
        <f t="shared" si="0"/>
        <v>Participant #06</v>
      </c>
      <c r="O22" s="91" t="str">
        <f t="shared" si="1"/>
        <v/>
      </c>
      <c r="P22" s="139"/>
      <c r="Q22" s="11" t="str" cm="1">
        <f t="array" ref="Q22">IFERROR(INDEX($N$17:$N$40,SMALL($O$17:$O$40,ROW(B8))),"-")</f>
        <v>-</v>
      </c>
      <c r="R22" s="13"/>
      <c r="S22" s="142"/>
      <c r="T22" s="63"/>
      <c r="U22" s="142"/>
      <c r="V22" s="155"/>
      <c r="W22" s="11" t="str">
        <f>IF(ISBLANK($R$33),"E1",$R$33)</f>
        <v>E1</v>
      </c>
      <c r="X22" s="69"/>
      <c r="Y22" s="142"/>
      <c r="Z22" s="63"/>
      <c r="AA22" s="142"/>
      <c r="AB22" s="139"/>
      <c r="AC22" s="12" t="str">
        <f>IF(ISBLANK($X$26),"I2",$X$26)</f>
        <v>I2</v>
      </c>
      <c r="AD22" s="23"/>
      <c r="AE22" s="142"/>
      <c r="AF22" s="63"/>
      <c r="AG22" s="63"/>
      <c r="AH22" s="63"/>
      <c r="AI22" s="63"/>
      <c r="AJ22" s="63"/>
      <c r="AK22" s="63"/>
      <c r="AL22" s="173"/>
      <c r="AM22" s="63"/>
      <c r="AN22" s="63"/>
      <c r="AO22" s="63"/>
      <c r="AP22" s="63"/>
      <c r="AQ22" s="63"/>
      <c r="AR22" s="63"/>
      <c r="AS22" s="63"/>
      <c r="AT22" s="37"/>
      <c r="BA22" s="63"/>
      <c r="BB22" s="63"/>
      <c r="BC22" s="63"/>
      <c r="BD22" s="63"/>
      <c r="BE22" s="169"/>
    </row>
    <row r="23" spans="1:57" ht="24.95" customHeight="1" x14ac:dyDescent="0.2">
      <c r="A23" s="105" t="s">
        <v>144</v>
      </c>
      <c r="B23" s="171"/>
      <c r="C23" s="39"/>
      <c r="D23" s="60" t="s">
        <v>11</v>
      </c>
      <c r="E23" s="15">
        <v>0</v>
      </c>
      <c r="F23" s="89"/>
      <c r="G23" s="89"/>
      <c r="H23" s="55" t="s">
        <v>59</v>
      </c>
      <c r="I23" s="27" t="str">
        <f>IF(ISBLANK(AD57),"TBD",AD57)</f>
        <v>TBD</v>
      </c>
      <c r="J23" s="30" t="s">
        <v>27</v>
      </c>
      <c r="K23" s="63"/>
      <c r="L23" s="176"/>
      <c r="M23" s="152"/>
      <c r="N23" s="91" t="str">
        <f t="shared" si="0"/>
        <v>Participant #07</v>
      </c>
      <c r="O23" s="91" t="str">
        <f t="shared" si="1"/>
        <v/>
      </c>
      <c r="P23" s="139"/>
      <c r="Q23" s="11" t="str" cm="1">
        <f t="array" ref="Q23">IFERROR(INDEX($N$17:$N$40,SMALL($O$17:$O$40,ROW(B14))),"-")</f>
        <v>-</v>
      </c>
      <c r="R23" s="6"/>
      <c r="S23" s="142"/>
      <c r="T23" s="63"/>
      <c r="U23" s="142"/>
      <c r="V23" s="155"/>
      <c r="W23" s="11" t="str">
        <f>IF(ISBLANK($R$26),"C2",$R$26)</f>
        <v>C2</v>
      </c>
      <c r="X23" s="92"/>
      <c r="Y23" s="142"/>
      <c r="Z23" s="63"/>
      <c r="AA23" s="135"/>
      <c r="AB23" s="136"/>
      <c r="AC23" s="136"/>
      <c r="AD23" s="136"/>
      <c r="AE23" s="137"/>
      <c r="AF23" s="63"/>
      <c r="AG23" s="63"/>
      <c r="AH23" s="63"/>
      <c r="AI23" s="63"/>
      <c r="AJ23" s="63"/>
      <c r="AK23" s="63"/>
      <c r="AL23" s="173"/>
      <c r="AM23" s="63"/>
      <c r="AN23" s="63"/>
      <c r="AO23" s="63"/>
      <c r="AP23" s="63"/>
      <c r="AQ23" s="63"/>
      <c r="AR23" s="63"/>
      <c r="AS23" s="63"/>
      <c r="AT23" s="37"/>
      <c r="BA23" s="63"/>
      <c r="BB23" s="63"/>
      <c r="BC23" s="63"/>
      <c r="BD23" s="63"/>
      <c r="BE23" s="169"/>
    </row>
    <row r="24" spans="1:57" ht="24.95" customHeight="1" x14ac:dyDescent="0.2">
      <c r="A24" s="105" t="s">
        <v>145</v>
      </c>
      <c r="B24" s="171"/>
      <c r="C24" s="39"/>
      <c r="D24" s="60" t="s">
        <v>12</v>
      </c>
      <c r="E24" s="15">
        <v>0</v>
      </c>
      <c r="F24" s="89"/>
      <c r="G24" s="89"/>
      <c r="H24" s="55" t="s">
        <v>59</v>
      </c>
      <c r="I24" s="27" t="str">
        <f>IF(ISBLANK(AD61),"TBD",AD61)</f>
        <v>TBD</v>
      </c>
      <c r="J24" s="30" t="s">
        <v>27</v>
      </c>
      <c r="K24" s="63"/>
      <c r="L24" s="176"/>
      <c r="M24" s="152"/>
      <c r="N24" s="91" t="str">
        <f t="shared" si="0"/>
        <v>Participant #08</v>
      </c>
      <c r="O24" s="91" t="str">
        <f t="shared" si="1"/>
        <v/>
      </c>
      <c r="P24" s="140"/>
      <c r="Q24" s="12" t="str" cm="1">
        <f t="array" ref="Q24">IFERROR(INDEX($N$17:$N$40,SMALL($O$17:$O$40,ROW(B20))),"-")</f>
        <v>-</v>
      </c>
      <c r="R24" s="7"/>
      <c r="S24" s="142"/>
      <c r="T24" s="63"/>
      <c r="U24" s="142"/>
      <c r="V24" s="156"/>
      <c r="W24" s="12" t="str">
        <f>IF(ISBLANK($R$38),"F2",$R$38)</f>
        <v>F2</v>
      </c>
      <c r="X24" s="70"/>
      <c r="Y24" s="142"/>
      <c r="Z24" s="63"/>
      <c r="AA24" s="63"/>
      <c r="AB24" s="93"/>
      <c r="AC24" s="94"/>
      <c r="AD24" s="95"/>
      <c r="AE24" s="63"/>
      <c r="AF24" s="63"/>
      <c r="AG24" s="63"/>
      <c r="AH24" s="63"/>
      <c r="AI24" s="63"/>
      <c r="AJ24" s="63"/>
      <c r="AK24" s="63"/>
      <c r="AL24" s="173"/>
      <c r="AM24" s="63"/>
      <c r="AN24" s="63"/>
      <c r="AO24" s="63"/>
      <c r="AP24" s="63"/>
      <c r="AQ24" s="63"/>
      <c r="AR24" s="63"/>
      <c r="AS24" s="63"/>
      <c r="AT24" s="37"/>
      <c r="BA24" s="63"/>
      <c r="BB24" s="63"/>
      <c r="BC24" s="63"/>
      <c r="BD24" s="63"/>
      <c r="BE24" s="169"/>
    </row>
    <row r="25" spans="1:57" ht="24.95" customHeight="1" x14ac:dyDescent="0.2">
      <c r="A25" s="105" t="s">
        <v>62</v>
      </c>
      <c r="B25" s="171"/>
      <c r="C25" s="39"/>
      <c r="D25" s="60" t="s">
        <v>13</v>
      </c>
      <c r="E25" s="15">
        <v>0</v>
      </c>
      <c r="F25" s="89"/>
      <c r="G25" s="89"/>
      <c r="H25" s="55" t="s">
        <v>59</v>
      </c>
      <c r="I25" s="27" t="str">
        <f>IF(ISBLANK($AD$58),"TBD",$AD$58)</f>
        <v>TBD</v>
      </c>
      <c r="J25" s="30" t="s">
        <v>28</v>
      </c>
      <c r="K25" s="63"/>
      <c r="L25" s="176"/>
      <c r="M25" s="152"/>
      <c r="N25" s="91" t="str">
        <f t="shared" si="0"/>
        <v>Participant #09</v>
      </c>
      <c r="O25" s="91" t="str">
        <f t="shared" si="1"/>
        <v/>
      </c>
      <c r="P25" s="138" t="s">
        <v>35</v>
      </c>
      <c r="Q25" s="10" t="str" cm="1">
        <f t="array" ref="Q25">IFERROR(INDEX($N$17:$N$40,SMALL($O$17:$O$40,ROW(B3))),"-")</f>
        <v>-</v>
      </c>
      <c r="R25" s="5"/>
      <c r="S25" s="142"/>
      <c r="T25" s="63"/>
      <c r="U25" s="142"/>
      <c r="V25" s="146" t="s">
        <v>49</v>
      </c>
      <c r="W25" s="11" t="str">
        <f>IF(ISBLANK($R$25),"C1",$R$25)</f>
        <v>C1</v>
      </c>
      <c r="X25" s="68"/>
      <c r="Y25" s="142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173"/>
      <c r="AM25" s="63"/>
      <c r="AN25" s="123" t="s">
        <v>52</v>
      </c>
      <c r="AO25" s="124"/>
      <c r="AP25" s="124"/>
      <c r="AQ25" s="124"/>
      <c r="AR25" s="124"/>
      <c r="AS25" s="125"/>
      <c r="AT25" s="37"/>
      <c r="BA25" s="63"/>
      <c r="BB25" s="63"/>
      <c r="BC25" s="63"/>
      <c r="BD25" s="63"/>
      <c r="BE25" s="169"/>
    </row>
    <row r="26" spans="1:57" ht="24.95" customHeight="1" x14ac:dyDescent="0.2">
      <c r="A26" s="105" t="s">
        <v>146</v>
      </c>
      <c r="B26" s="171"/>
      <c r="C26" s="39"/>
      <c r="D26" s="60" t="s">
        <v>14</v>
      </c>
      <c r="E26" s="15">
        <v>0</v>
      </c>
      <c r="F26" s="89"/>
      <c r="G26" s="89"/>
      <c r="H26" s="55" t="s">
        <v>59</v>
      </c>
      <c r="I26" s="27" t="str">
        <f>IF(ISBLANK(AD62),"TBD",AD62)</f>
        <v>TBD</v>
      </c>
      <c r="J26" s="30" t="s">
        <v>28</v>
      </c>
      <c r="K26" s="63"/>
      <c r="L26" s="176"/>
      <c r="M26" s="152"/>
      <c r="N26" s="91" t="str">
        <f t="shared" si="0"/>
        <v>Participant #10</v>
      </c>
      <c r="O26" s="91" t="str">
        <f t="shared" si="1"/>
        <v/>
      </c>
      <c r="P26" s="139"/>
      <c r="Q26" s="11" t="str" cm="1">
        <f t="array" ref="Q26">IFERROR(INDEX($N$17:$N$40,SMALL($O$17:$O$40,ROW(B9))),"-")</f>
        <v>-</v>
      </c>
      <c r="R26" s="13"/>
      <c r="S26" s="142"/>
      <c r="T26" s="63"/>
      <c r="U26" s="142"/>
      <c r="V26" s="147"/>
      <c r="W26" s="11" t="str">
        <f>IF(ISBLANK($R$37),"F1",$R$37)</f>
        <v>F1</v>
      </c>
      <c r="X26" s="69"/>
      <c r="Y26" s="142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173"/>
      <c r="AM26" s="63"/>
      <c r="AN26" s="126"/>
      <c r="AO26" s="127"/>
      <c r="AP26" s="127"/>
      <c r="AQ26" s="127"/>
      <c r="AR26" s="127"/>
      <c r="AS26" s="128"/>
      <c r="AT26" s="37"/>
      <c r="BA26" s="63"/>
      <c r="BB26" s="63"/>
      <c r="BC26" s="63"/>
      <c r="BD26" s="63"/>
      <c r="BE26" s="169"/>
    </row>
    <row r="27" spans="1:57" ht="24.95" customHeight="1" x14ac:dyDescent="0.2">
      <c r="A27" s="105" t="s">
        <v>147</v>
      </c>
      <c r="B27" s="171"/>
      <c r="C27" s="39"/>
      <c r="D27" s="60" t="s">
        <v>15</v>
      </c>
      <c r="E27" s="15">
        <v>0</v>
      </c>
      <c r="F27" s="89"/>
      <c r="G27" s="89"/>
      <c r="H27" s="55" t="s">
        <v>59</v>
      </c>
      <c r="I27" s="27" t="str">
        <f>IF(ISBLANK($X$57),"TBD",$X$57)</f>
        <v>TBD</v>
      </c>
      <c r="J27" s="30" t="s">
        <v>29</v>
      </c>
      <c r="K27" s="63"/>
      <c r="L27" s="176"/>
      <c r="M27" s="152"/>
      <c r="N27" s="91" t="str">
        <f t="shared" si="0"/>
        <v>Participant #11</v>
      </c>
      <c r="O27" s="91" t="str">
        <f t="shared" si="1"/>
        <v/>
      </c>
      <c r="P27" s="139"/>
      <c r="Q27" s="11" t="str" cm="1">
        <f t="array" ref="Q27">IFERROR(INDEX($N$17:$N$40,SMALL($O$17:$O$40,ROW(B15))),"-")</f>
        <v>-</v>
      </c>
      <c r="R27" s="6"/>
      <c r="S27" s="142"/>
      <c r="T27" s="63"/>
      <c r="U27" s="142"/>
      <c r="V27" s="147"/>
      <c r="W27" s="11" t="str">
        <f>IF(ISBLANK($R$18),"A2",$R$18)</f>
        <v>A2</v>
      </c>
      <c r="X27" s="92"/>
      <c r="Y27" s="142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173"/>
      <c r="AM27" s="63"/>
      <c r="AN27" s="129"/>
      <c r="AO27" s="130"/>
      <c r="AP27" s="130"/>
      <c r="AQ27" s="130"/>
      <c r="AR27" s="130"/>
      <c r="AS27" s="131"/>
      <c r="AT27" s="37"/>
      <c r="BA27" s="63"/>
      <c r="BB27" s="63"/>
      <c r="BC27" s="63"/>
      <c r="BD27" s="63"/>
      <c r="BE27" s="169"/>
    </row>
    <row r="28" spans="1:57" ht="24.95" customHeight="1" x14ac:dyDescent="0.2">
      <c r="A28" s="105" t="s">
        <v>148</v>
      </c>
      <c r="B28" s="171"/>
      <c r="C28" s="39"/>
      <c r="D28" s="60" t="s">
        <v>16</v>
      </c>
      <c r="E28" s="15">
        <v>0</v>
      </c>
      <c r="F28" s="89"/>
      <c r="G28" s="89"/>
      <c r="H28" s="55" t="s">
        <v>59</v>
      </c>
      <c r="I28" s="27" t="str">
        <f>IF(ISBLANK($X$61),"TBD",$X$61)</f>
        <v>TBD</v>
      </c>
      <c r="J28" s="30" t="s">
        <v>29</v>
      </c>
      <c r="K28" s="63"/>
      <c r="L28" s="176"/>
      <c r="M28" s="152"/>
      <c r="N28" s="91" t="str">
        <f t="shared" si="0"/>
        <v>Participant #12</v>
      </c>
      <c r="O28" s="91" t="str">
        <f t="shared" si="1"/>
        <v/>
      </c>
      <c r="P28" s="140"/>
      <c r="Q28" s="12" t="str" cm="1">
        <f t="array" ref="Q28">IFERROR(INDEX($N$17:$N$40,SMALL($O$17:$O$40,ROW(B21))),"-")</f>
        <v>-</v>
      </c>
      <c r="R28" s="7"/>
      <c r="S28" s="142"/>
      <c r="T28" s="63"/>
      <c r="U28" s="143"/>
      <c r="V28" s="148"/>
      <c r="W28" s="11" t="str">
        <f>IF(ISBLANK($R$30),"D2",$R$30)</f>
        <v>D2</v>
      </c>
      <c r="X28" s="70"/>
      <c r="Y28" s="14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173"/>
      <c r="AM28" s="63"/>
      <c r="AN28" s="135"/>
      <c r="AO28" s="136"/>
      <c r="AP28" s="136"/>
      <c r="AQ28" s="136"/>
      <c r="AR28" s="136"/>
      <c r="AS28" s="137"/>
      <c r="AT28" s="37"/>
      <c r="BA28" s="63"/>
      <c r="BB28" s="63"/>
      <c r="BC28" s="63"/>
      <c r="BD28" s="63"/>
      <c r="BE28" s="169"/>
    </row>
    <row r="29" spans="1:57" ht="24.95" customHeight="1" x14ac:dyDescent="0.3">
      <c r="A29" s="105" t="s">
        <v>149</v>
      </c>
      <c r="B29" s="171"/>
      <c r="C29" s="39"/>
      <c r="D29" s="27" t="s">
        <v>17</v>
      </c>
      <c r="E29" s="15">
        <v>0</v>
      </c>
      <c r="F29" s="89"/>
      <c r="G29" s="89"/>
      <c r="H29" s="55" t="s">
        <v>59</v>
      </c>
      <c r="I29" s="27" t="str">
        <f>IF(ISBLANK($X$65),"TBD",$X$65)</f>
        <v>TBD</v>
      </c>
      <c r="J29" s="30" t="s">
        <v>29</v>
      </c>
      <c r="K29" s="63"/>
      <c r="L29" s="176"/>
      <c r="M29" s="152"/>
      <c r="N29" s="91" t="str">
        <f t="shared" si="0"/>
        <v>Participant #13</v>
      </c>
      <c r="O29" s="91" t="str">
        <f t="shared" si="1"/>
        <v/>
      </c>
      <c r="P29" s="138" t="s">
        <v>36</v>
      </c>
      <c r="Q29" s="10" t="str" cm="1">
        <f t="array" ref="Q29">IFERROR(INDEX($N$17:$N$40,SMALL($O$17:$O$40,ROW(B4))),"-")</f>
        <v>-</v>
      </c>
      <c r="R29" s="5"/>
      <c r="S29" s="142"/>
      <c r="T29" s="63"/>
      <c r="U29" s="135"/>
      <c r="V29" s="136"/>
      <c r="W29" s="136"/>
      <c r="X29" s="136"/>
      <c r="Y29" s="137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173"/>
      <c r="AM29" s="63"/>
      <c r="AN29" s="141"/>
      <c r="AO29" s="4">
        <v>8</v>
      </c>
      <c r="AP29" s="144" t="s">
        <v>30</v>
      </c>
      <c r="AQ29" s="144"/>
      <c r="AR29" s="145"/>
      <c r="AS29" s="141"/>
      <c r="AT29" s="37"/>
      <c r="BA29" s="63"/>
      <c r="BB29" s="63"/>
      <c r="BC29" s="63"/>
      <c r="BD29" s="63"/>
      <c r="BE29" s="169"/>
    </row>
    <row r="30" spans="1:57" ht="24.95" customHeight="1" x14ac:dyDescent="0.2">
      <c r="A30" s="105" t="s">
        <v>150</v>
      </c>
      <c r="B30" s="171"/>
      <c r="C30" s="39"/>
      <c r="D30" s="60" t="s">
        <v>18</v>
      </c>
      <c r="E30" s="15">
        <v>0</v>
      </c>
      <c r="F30" s="89"/>
      <c r="G30" s="89"/>
      <c r="H30" s="55" t="s">
        <v>59</v>
      </c>
      <c r="I30" s="27" t="str">
        <f>IF(ISBLANK($X$58),"TBD",$X$58)</f>
        <v>TBD</v>
      </c>
      <c r="J30" s="30" t="s">
        <v>109</v>
      </c>
      <c r="K30" s="63"/>
      <c r="L30" s="176"/>
      <c r="M30" s="152"/>
      <c r="N30" s="91" t="str">
        <f t="shared" si="0"/>
        <v>Participant #14</v>
      </c>
      <c r="O30" s="91" t="str">
        <f t="shared" si="1"/>
        <v/>
      </c>
      <c r="P30" s="139"/>
      <c r="Q30" s="11" t="str" cm="1">
        <f t="array" ref="Q30">IFERROR(INDEX($N$17:$N$40,SMALL($O$17:$O$40,ROW(B10))),"-")</f>
        <v>-</v>
      </c>
      <c r="R30" s="13"/>
      <c r="S30" s="142"/>
      <c r="T30" s="63"/>
      <c r="U30" s="63"/>
      <c r="V30" s="96"/>
      <c r="W30" s="94"/>
      <c r="X30" s="95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173"/>
      <c r="AM30" s="63"/>
      <c r="AN30" s="142"/>
      <c r="AO30" s="3" t="s">
        <v>31</v>
      </c>
      <c r="AP30" s="14" t="s">
        <v>1</v>
      </c>
      <c r="AQ30" s="14" t="s">
        <v>32</v>
      </c>
      <c r="AR30" s="3" t="s">
        <v>58</v>
      </c>
      <c r="AS30" s="142"/>
      <c r="AT30" s="37"/>
      <c r="BA30" s="63"/>
      <c r="BB30" s="63"/>
      <c r="BC30" s="63"/>
      <c r="BD30" s="63"/>
      <c r="BE30" s="169"/>
    </row>
    <row r="31" spans="1:57" ht="24.95" customHeight="1" x14ac:dyDescent="0.25">
      <c r="A31" s="105" t="s">
        <v>151</v>
      </c>
      <c r="B31" s="171"/>
      <c r="C31" s="39"/>
      <c r="D31" s="60" t="s">
        <v>101</v>
      </c>
      <c r="E31" s="15">
        <v>0</v>
      </c>
      <c r="F31" s="89"/>
      <c r="G31" s="89"/>
      <c r="H31" s="55" t="s">
        <v>59</v>
      </c>
      <c r="I31" s="27" t="str">
        <f>IF(ISBLANK($X$62),"TBD",$X$62)</f>
        <v>TBD</v>
      </c>
      <c r="J31" s="30" t="s">
        <v>109</v>
      </c>
      <c r="K31" s="97"/>
      <c r="L31" s="176"/>
      <c r="M31" s="152"/>
      <c r="N31" s="91" t="str">
        <f t="shared" si="0"/>
        <v>Participant #15</v>
      </c>
      <c r="O31" s="91" t="str">
        <f t="shared" si="1"/>
        <v/>
      </c>
      <c r="P31" s="139"/>
      <c r="Q31" s="11" t="str" cm="1">
        <f t="array" ref="Q31">IFERROR(INDEX($N$17:$N$40,SMALL($O$17:$O$40,ROW(B16))),"-")</f>
        <v>-</v>
      </c>
      <c r="R31" s="6"/>
      <c r="S31" s="142"/>
      <c r="T31" s="63"/>
      <c r="U31" s="63"/>
      <c r="V31" s="96"/>
      <c r="W31" s="94"/>
      <c r="X31" s="95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173"/>
      <c r="AM31" s="63"/>
      <c r="AN31" s="142"/>
      <c r="AO31" s="138" t="s">
        <v>55</v>
      </c>
      <c r="AP31" s="20" t="str">
        <f>IF(ISBLANK($AJ$57),"LF3",$AJ$57)</f>
        <v>LF3</v>
      </c>
      <c r="AQ31" s="24"/>
      <c r="AR31" s="44">
        <v>0</v>
      </c>
      <c r="AS31" s="152"/>
      <c r="AT31" s="37"/>
      <c r="BA31" s="63"/>
      <c r="BB31" s="63"/>
      <c r="BC31" s="63"/>
      <c r="BD31" s="63"/>
      <c r="BE31" s="169"/>
    </row>
    <row r="32" spans="1:57" ht="24.95" customHeight="1" x14ac:dyDescent="0.25">
      <c r="A32" s="105" t="s">
        <v>152</v>
      </c>
      <c r="B32" s="171"/>
      <c r="C32" s="39"/>
      <c r="D32" s="60" t="s">
        <v>102</v>
      </c>
      <c r="E32" s="15">
        <v>0</v>
      </c>
      <c r="F32" s="89"/>
      <c r="G32" s="89"/>
      <c r="H32" s="55" t="s">
        <v>59</v>
      </c>
      <c r="I32" s="27" t="str">
        <f>IF(ISBLANK($X$66),"TBD",$X$66)</f>
        <v>TBD</v>
      </c>
      <c r="J32" s="30" t="s">
        <v>109</v>
      </c>
      <c r="K32" s="97"/>
      <c r="L32" s="176"/>
      <c r="M32" s="152"/>
      <c r="N32" s="91" t="str">
        <f t="shared" si="0"/>
        <v>Participant #16</v>
      </c>
      <c r="O32" s="91" t="str">
        <f t="shared" si="1"/>
        <v/>
      </c>
      <c r="P32" s="140"/>
      <c r="Q32" s="12" t="str" cm="1">
        <f t="array" ref="Q32">IFERROR(INDEX($N$17:$N$40,SMALL($O$17:$O$40,ROW(B22))),"-")</f>
        <v>-</v>
      </c>
      <c r="R32" s="7"/>
      <c r="S32" s="142"/>
      <c r="T32" s="63"/>
      <c r="U32" s="63"/>
      <c r="V32" s="96"/>
      <c r="W32" s="94"/>
      <c r="X32" s="95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173"/>
      <c r="AM32" s="63"/>
      <c r="AN32" s="142"/>
      <c r="AO32" s="139"/>
      <c r="AP32" s="21" t="str">
        <f>IF(ISBLANK($AJ$58),"LF4",$AJ$58)</f>
        <v>LF4</v>
      </c>
      <c r="AQ32" s="25"/>
      <c r="AR32" s="45">
        <v>0</v>
      </c>
      <c r="AS32" s="152"/>
      <c r="AT32" s="37"/>
      <c r="BA32" s="63"/>
      <c r="BB32" s="63"/>
      <c r="BC32" s="63"/>
      <c r="BD32" s="63"/>
      <c r="BE32" s="169"/>
    </row>
    <row r="33" spans="1:57" ht="24.95" customHeight="1" x14ac:dyDescent="0.25">
      <c r="A33" s="105" t="s">
        <v>63</v>
      </c>
      <c r="B33" s="171"/>
      <c r="C33" s="39"/>
      <c r="D33" s="60" t="s">
        <v>103</v>
      </c>
      <c r="E33" s="15">
        <v>0</v>
      </c>
      <c r="F33" s="89"/>
      <c r="G33" s="89"/>
      <c r="H33" s="55" t="s">
        <v>59</v>
      </c>
      <c r="I33" s="27" t="str">
        <f>IF(ISBLANK($R$57),"TBD",$R$57)</f>
        <v>TBD</v>
      </c>
      <c r="J33" s="30" t="s">
        <v>110</v>
      </c>
      <c r="K33" s="97"/>
      <c r="L33" s="176"/>
      <c r="M33" s="152"/>
      <c r="N33" s="91" t="str">
        <f t="shared" si="0"/>
        <v>Participant #17</v>
      </c>
      <c r="O33" s="91" t="str">
        <f t="shared" si="1"/>
        <v/>
      </c>
      <c r="P33" s="138" t="s">
        <v>38</v>
      </c>
      <c r="Q33" s="10" t="str" cm="1">
        <f t="array" ref="Q33">IFERROR(INDEX($N$17:$N$40,SMALL($O$17:$O$40,ROW(B5))),"-")</f>
        <v>-</v>
      </c>
      <c r="R33" s="5"/>
      <c r="S33" s="142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173"/>
      <c r="AM33" s="63"/>
      <c r="AN33" s="142"/>
      <c r="AO33" s="139"/>
      <c r="AP33" s="21" t="str">
        <f>IF(ISBLANK($AD$56),"R2",$AD$56)</f>
        <v>R2</v>
      </c>
      <c r="AQ33" s="26"/>
      <c r="AR33" s="46">
        <v>0</v>
      </c>
      <c r="AS33" s="152"/>
      <c r="AT33" s="37"/>
      <c r="BA33" s="63"/>
      <c r="BB33" s="63"/>
      <c r="BC33" s="63"/>
      <c r="BD33" s="63"/>
      <c r="BE33" s="169"/>
    </row>
    <row r="34" spans="1:57" ht="24.95" customHeight="1" x14ac:dyDescent="0.25">
      <c r="A34" s="105" t="s">
        <v>86</v>
      </c>
      <c r="B34" s="171"/>
      <c r="C34" s="39"/>
      <c r="D34" s="60" t="s">
        <v>104</v>
      </c>
      <c r="E34" s="15">
        <v>0</v>
      </c>
      <c r="F34" s="89"/>
      <c r="G34" s="89"/>
      <c r="H34" s="55" t="s">
        <v>59</v>
      </c>
      <c r="I34" s="27" t="str">
        <f>IF(ISBLANK($R$61),"TBD",$R$61)</f>
        <v>TBD</v>
      </c>
      <c r="J34" s="30" t="s">
        <v>110</v>
      </c>
      <c r="K34" s="97"/>
      <c r="L34" s="176"/>
      <c r="M34" s="152"/>
      <c r="N34" s="91" t="str">
        <f t="shared" si="0"/>
        <v>Participant #18</v>
      </c>
      <c r="O34" s="91" t="str">
        <f t="shared" si="1"/>
        <v/>
      </c>
      <c r="P34" s="139"/>
      <c r="Q34" s="11" t="str" cm="1">
        <f t="array" ref="Q34">IFERROR(INDEX($N$17:$N$40,SMALL($O$17:$O$40,ROW(B11))),"-")</f>
        <v>-</v>
      </c>
      <c r="R34" s="13"/>
      <c r="S34" s="142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173"/>
      <c r="AM34" s="63"/>
      <c r="AN34" s="143"/>
      <c r="AO34" s="140"/>
      <c r="AP34" s="22" t="str">
        <f>IF(ISBLANK($AD$60),"S2",$AD$60)</f>
        <v>S2</v>
      </c>
      <c r="AQ34" s="9"/>
      <c r="AR34" s="13">
        <v>0</v>
      </c>
      <c r="AS34" s="164"/>
      <c r="AT34" s="37"/>
      <c r="BA34" s="63"/>
      <c r="BB34" s="63"/>
      <c r="BC34" s="63"/>
      <c r="BD34" s="63"/>
      <c r="BE34" s="169"/>
    </row>
    <row r="35" spans="1:57" ht="24.95" customHeight="1" x14ac:dyDescent="0.25">
      <c r="A35" s="105" t="s">
        <v>153</v>
      </c>
      <c r="B35" s="171"/>
      <c r="C35" s="39"/>
      <c r="D35" s="60" t="s">
        <v>105</v>
      </c>
      <c r="E35" s="15">
        <v>0</v>
      </c>
      <c r="F35" s="89"/>
      <c r="G35" s="89"/>
      <c r="H35" s="55" t="s">
        <v>59</v>
      </c>
      <c r="I35" s="27" t="str">
        <f>IF(ISBLANK($R$65),"TBD",$R$65)</f>
        <v>TBD</v>
      </c>
      <c r="J35" s="30" t="s">
        <v>110</v>
      </c>
      <c r="K35" s="97"/>
      <c r="L35" s="176"/>
      <c r="M35" s="152"/>
      <c r="N35" s="91" t="str">
        <f t="shared" si="0"/>
        <v>Participant #19</v>
      </c>
      <c r="O35" s="91" t="str">
        <f t="shared" si="1"/>
        <v/>
      </c>
      <c r="P35" s="139"/>
      <c r="Q35" s="11" t="str" cm="1">
        <f t="array" ref="Q35">IFERROR(INDEX($N$17:$N$40,SMALL($O$17:$O$40,ROW(B17))),"-")</f>
        <v>-</v>
      </c>
      <c r="R35" s="6"/>
      <c r="S35" s="142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63"/>
      <c r="AG35" s="63"/>
      <c r="AH35" s="63"/>
      <c r="AI35" s="63"/>
      <c r="AJ35" s="63"/>
      <c r="AK35" s="63"/>
      <c r="AL35" s="173"/>
      <c r="AM35" s="63"/>
      <c r="AN35" s="135"/>
      <c r="AO35" s="136"/>
      <c r="AP35" s="149"/>
      <c r="AQ35" s="149"/>
      <c r="AR35" s="149"/>
      <c r="AS35" s="137"/>
      <c r="AT35" s="37"/>
      <c r="BA35" s="63"/>
      <c r="BB35" s="63"/>
      <c r="BC35" s="63"/>
      <c r="BD35" s="63"/>
      <c r="BE35" s="169"/>
    </row>
    <row r="36" spans="1:57" ht="24.95" customHeight="1" x14ac:dyDescent="0.25">
      <c r="A36" s="105" t="s">
        <v>154</v>
      </c>
      <c r="B36" s="171"/>
      <c r="C36" s="39"/>
      <c r="D36" s="60" t="s">
        <v>106</v>
      </c>
      <c r="E36" s="15">
        <v>0</v>
      </c>
      <c r="F36" s="89"/>
      <c r="G36" s="89"/>
      <c r="H36" s="55" t="s">
        <v>59</v>
      </c>
      <c r="I36" s="27" t="str">
        <f>IF(ISBLANK($R$58),"TBD",$R$58)</f>
        <v>TBD</v>
      </c>
      <c r="J36" s="30" t="s">
        <v>111</v>
      </c>
      <c r="K36" s="97"/>
      <c r="L36" s="176"/>
      <c r="M36" s="152"/>
      <c r="N36" s="91" t="str">
        <f t="shared" si="0"/>
        <v>Participant #20</v>
      </c>
      <c r="O36" s="91" t="str">
        <f t="shared" si="1"/>
        <v/>
      </c>
      <c r="P36" s="140"/>
      <c r="Q36" s="12" t="str" cm="1">
        <f t="array" ref="Q36">IFERROR(INDEX($N$17:$N$40,SMALL($O$17:$O$40,ROW(B23))),"-")</f>
        <v>-</v>
      </c>
      <c r="R36" s="7"/>
      <c r="S36" s="142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173"/>
      <c r="AM36" s="63"/>
      <c r="AN36" s="63"/>
      <c r="AO36" s="63"/>
      <c r="AP36" s="63"/>
      <c r="AQ36" s="63"/>
      <c r="AR36" s="63"/>
      <c r="AS36" s="63"/>
      <c r="AT36" s="37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169"/>
    </row>
    <row r="37" spans="1:57" ht="24.95" customHeight="1" x14ac:dyDescent="0.25">
      <c r="A37" s="105" t="s">
        <v>155</v>
      </c>
      <c r="B37" s="171"/>
      <c r="C37" s="39"/>
      <c r="D37" s="60" t="s">
        <v>107</v>
      </c>
      <c r="E37" s="15">
        <v>0</v>
      </c>
      <c r="F37" s="89"/>
      <c r="G37" s="89"/>
      <c r="H37" s="55" t="s">
        <v>59</v>
      </c>
      <c r="I37" s="27" t="str">
        <f>IF(ISBLANK($R$62),"TBD",$R$62)</f>
        <v>TBD</v>
      </c>
      <c r="J37" s="30" t="s">
        <v>111</v>
      </c>
      <c r="K37" s="97"/>
      <c r="L37" s="176"/>
      <c r="M37" s="152"/>
      <c r="N37" s="91" t="str">
        <f t="shared" si="0"/>
        <v>Participant #21</v>
      </c>
      <c r="O37" s="91" t="str">
        <f t="shared" si="1"/>
        <v/>
      </c>
      <c r="P37" s="138" t="s">
        <v>39</v>
      </c>
      <c r="Q37" s="10" t="str" cm="1">
        <f t="array" ref="Q37">IFERROR(INDEX($N$17:$N$40,SMALL($O$17:$O$40,ROW(B6))),"-")</f>
        <v>-</v>
      </c>
      <c r="R37" s="5"/>
      <c r="S37" s="142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173"/>
      <c r="AM37" s="63"/>
      <c r="AN37" s="63"/>
      <c r="AO37" s="63"/>
      <c r="AP37" s="63"/>
      <c r="AQ37" s="63"/>
      <c r="AR37" s="63"/>
      <c r="AS37" s="63"/>
      <c r="AT37" s="37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169"/>
    </row>
    <row r="38" spans="1:57" ht="24.95" customHeight="1" x14ac:dyDescent="0.25">
      <c r="A38" s="105" t="s">
        <v>156</v>
      </c>
      <c r="B38" s="171"/>
      <c r="C38" s="39"/>
      <c r="D38" s="61" t="s">
        <v>108</v>
      </c>
      <c r="E38" s="16">
        <v>0</v>
      </c>
      <c r="F38" s="89"/>
      <c r="G38" s="89"/>
      <c r="H38" s="56" t="s">
        <v>59</v>
      </c>
      <c r="I38" s="28" t="str">
        <f>IF(ISBLANK($R$66),"TBD",$R$66)</f>
        <v>TBD</v>
      </c>
      <c r="J38" s="33" t="s">
        <v>111</v>
      </c>
      <c r="K38" s="97"/>
      <c r="L38" s="176"/>
      <c r="M38" s="152"/>
      <c r="N38" s="91" t="str">
        <f t="shared" si="0"/>
        <v>Participant #22</v>
      </c>
      <c r="O38" s="91" t="str">
        <f t="shared" si="1"/>
        <v/>
      </c>
      <c r="P38" s="139"/>
      <c r="Q38" s="11" t="str" cm="1">
        <f t="array" ref="Q38">IFERROR(INDEX($N$17:$N$40,SMALL($O$17:$O$40,ROW(B12))),"-")</f>
        <v>-</v>
      </c>
      <c r="R38" s="13"/>
      <c r="S38" s="142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94"/>
      <c r="AK38" s="63"/>
      <c r="AL38" s="173"/>
      <c r="AM38" s="63"/>
      <c r="AN38" s="63"/>
      <c r="AO38" s="63"/>
      <c r="AP38" s="63"/>
      <c r="AQ38" s="63"/>
      <c r="AR38" s="63"/>
      <c r="AS38" s="63"/>
      <c r="AT38" s="37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169"/>
    </row>
    <row r="39" spans="1:57" ht="24.95" customHeight="1" x14ac:dyDescent="0.25">
      <c r="A39" s="105" t="s">
        <v>157</v>
      </c>
      <c r="B39" s="171"/>
      <c r="C39" s="39"/>
      <c r="D39" s="99"/>
      <c r="E39" s="89"/>
      <c r="F39" s="89"/>
      <c r="G39" s="89"/>
      <c r="H39" s="89"/>
      <c r="I39" s="89"/>
      <c r="J39" s="89"/>
      <c r="K39" s="97"/>
      <c r="L39" s="176"/>
      <c r="M39" s="152"/>
      <c r="N39" s="91" t="str">
        <f t="shared" si="0"/>
        <v>Participant #23</v>
      </c>
      <c r="O39" s="91" t="str">
        <f t="shared" si="1"/>
        <v/>
      </c>
      <c r="P39" s="139"/>
      <c r="Q39" s="11" t="str" cm="1">
        <f t="array" ref="Q39">IFERROR(INDEX($N$17:$N$40,SMALL($O$17:$O$40,ROW(B18))),"-")</f>
        <v>-</v>
      </c>
      <c r="R39" s="6"/>
      <c r="S39" s="142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173"/>
      <c r="AM39" s="63"/>
      <c r="AN39" s="63"/>
      <c r="AO39" s="63"/>
      <c r="AP39" s="63"/>
      <c r="AQ39" s="63"/>
      <c r="AR39" s="63"/>
      <c r="AS39" s="63"/>
      <c r="AT39" s="37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169"/>
    </row>
    <row r="40" spans="1:57" ht="24.95" customHeight="1" x14ac:dyDescent="0.25">
      <c r="A40" s="105" t="s">
        <v>158</v>
      </c>
      <c r="B40" s="171"/>
      <c r="C40" s="39"/>
      <c r="D40" s="99"/>
      <c r="E40" s="89"/>
      <c r="F40" s="89"/>
      <c r="G40" s="89"/>
      <c r="H40" s="89"/>
      <c r="I40" s="89"/>
      <c r="J40" s="89"/>
      <c r="K40" s="97"/>
      <c r="L40" s="176"/>
      <c r="M40" s="152"/>
      <c r="N40" s="91" t="str">
        <f t="shared" si="0"/>
        <v>Participant #24</v>
      </c>
      <c r="O40" s="91" t="str">
        <f t="shared" si="1"/>
        <v/>
      </c>
      <c r="P40" s="139"/>
      <c r="Q40" s="12" t="str" cm="1">
        <f t="array" ref="Q40">IFERROR(INDEX($N$17:$N$40,SMALL($O$17:$O$40,ROW(B24))),"-")</f>
        <v>-</v>
      </c>
      <c r="R40" s="6"/>
      <c r="S40" s="142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173"/>
      <c r="AM40" s="63"/>
      <c r="AN40" s="63"/>
      <c r="AO40" s="63"/>
      <c r="AP40" s="63"/>
      <c r="AQ40" s="63"/>
      <c r="AR40" s="63"/>
      <c r="AS40" s="63"/>
      <c r="AT40" s="37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169"/>
    </row>
    <row r="41" spans="1:57" ht="24.95" customHeight="1" x14ac:dyDescent="0.25">
      <c r="A41" s="105" t="s">
        <v>95</v>
      </c>
      <c r="B41" s="171"/>
      <c r="C41" s="39"/>
      <c r="D41" s="99"/>
      <c r="E41" s="89"/>
      <c r="F41" s="89"/>
      <c r="G41" s="89"/>
      <c r="H41" s="89"/>
      <c r="I41" s="89"/>
      <c r="J41" s="89"/>
      <c r="K41" s="97"/>
      <c r="L41" s="176"/>
      <c r="M41" s="136"/>
      <c r="N41" s="136"/>
      <c r="O41" s="136"/>
      <c r="P41" s="136"/>
      <c r="Q41" s="149"/>
      <c r="R41" s="136"/>
      <c r="S41" s="137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173"/>
      <c r="AM41" s="63"/>
      <c r="AN41" s="63"/>
      <c r="AO41" s="63"/>
      <c r="AP41" s="63"/>
      <c r="AQ41" s="63"/>
      <c r="AR41" s="63"/>
      <c r="AS41" s="63"/>
      <c r="AT41" s="37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169"/>
    </row>
    <row r="42" spans="1:57" ht="24.95" customHeight="1" x14ac:dyDescent="0.25">
      <c r="A42" s="105" t="s">
        <v>74</v>
      </c>
      <c r="B42" s="171"/>
      <c r="C42" s="39"/>
      <c r="D42" s="99"/>
      <c r="E42" s="89"/>
      <c r="F42" s="89"/>
      <c r="G42" s="89"/>
      <c r="H42" s="89"/>
      <c r="I42" s="89"/>
      <c r="J42" s="89"/>
      <c r="K42" s="97"/>
      <c r="L42" s="176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173"/>
      <c r="AM42" s="63"/>
      <c r="AN42" s="63"/>
      <c r="AO42" s="63"/>
      <c r="AP42" s="63"/>
      <c r="AQ42" s="63"/>
      <c r="AR42" s="63"/>
      <c r="AS42" s="63"/>
      <c r="AT42" s="37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169"/>
    </row>
    <row r="43" spans="1:57" ht="24.95" customHeight="1" x14ac:dyDescent="0.25">
      <c r="A43" s="105" t="s">
        <v>76</v>
      </c>
      <c r="B43" s="171"/>
      <c r="C43" s="39"/>
      <c r="D43" s="99"/>
      <c r="E43" s="89"/>
      <c r="F43" s="89"/>
      <c r="G43" s="89"/>
      <c r="H43" s="89"/>
      <c r="I43" s="89"/>
      <c r="J43" s="89"/>
      <c r="K43" s="97"/>
      <c r="L43" s="176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173"/>
      <c r="AM43" s="63"/>
      <c r="AN43" s="63"/>
      <c r="AO43" s="63"/>
      <c r="AP43" s="63"/>
      <c r="AQ43" s="63"/>
      <c r="AR43" s="63"/>
      <c r="AS43" s="63"/>
      <c r="AT43" s="37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169"/>
    </row>
    <row r="44" spans="1:57" ht="24.95" customHeight="1" x14ac:dyDescent="0.25">
      <c r="A44" s="105" t="s">
        <v>83</v>
      </c>
      <c r="B44" s="171"/>
      <c r="C44" s="39"/>
      <c r="D44" s="99"/>
      <c r="E44" s="89"/>
      <c r="F44" s="89"/>
      <c r="G44" s="89"/>
      <c r="H44" s="89"/>
      <c r="I44" s="89"/>
      <c r="J44" s="89"/>
      <c r="K44" s="97"/>
      <c r="L44" s="176"/>
      <c r="M44" s="159" t="s">
        <v>42</v>
      </c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73"/>
      <c r="AM44" s="63"/>
      <c r="AN44" s="63"/>
      <c r="AO44" s="63"/>
      <c r="AP44" s="63"/>
      <c r="AQ44" s="63"/>
      <c r="AR44" s="63"/>
      <c r="AS44" s="63"/>
      <c r="AT44" s="37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169"/>
    </row>
    <row r="45" spans="1:57" ht="24.95" customHeight="1" x14ac:dyDescent="0.25">
      <c r="A45" s="105" t="s">
        <v>82</v>
      </c>
      <c r="B45" s="171"/>
      <c r="C45" s="39"/>
      <c r="D45" s="99"/>
      <c r="E45" s="89"/>
      <c r="F45" s="89"/>
      <c r="G45" s="89"/>
      <c r="H45" s="89"/>
      <c r="I45" s="89"/>
      <c r="J45" s="89"/>
      <c r="K45" s="97"/>
      <c r="L45" s="176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73"/>
      <c r="AM45" s="63"/>
      <c r="AN45" s="63"/>
      <c r="AO45" s="63"/>
      <c r="AP45" s="63"/>
      <c r="AQ45" s="63"/>
      <c r="AR45" s="63"/>
      <c r="AS45" s="63"/>
      <c r="AT45" s="37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169"/>
    </row>
    <row r="46" spans="1:57" ht="24.95" customHeight="1" x14ac:dyDescent="0.25">
      <c r="A46" s="105" t="s">
        <v>89</v>
      </c>
      <c r="B46" s="171"/>
      <c r="C46" s="39"/>
      <c r="D46" s="99"/>
      <c r="E46" s="89"/>
      <c r="F46" s="89"/>
      <c r="G46" s="89"/>
      <c r="H46" s="89"/>
      <c r="I46" s="89"/>
      <c r="J46" s="89"/>
      <c r="K46" s="97"/>
      <c r="L46" s="176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  <c r="AK46" s="161"/>
      <c r="AL46" s="173"/>
      <c r="AM46" s="63"/>
      <c r="AN46" s="63"/>
      <c r="AO46" s="63"/>
      <c r="AP46" s="63"/>
      <c r="AQ46" s="63"/>
      <c r="AR46" s="63"/>
      <c r="AS46" s="63"/>
      <c r="AT46" s="37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169"/>
    </row>
    <row r="47" spans="1:57" ht="24.95" customHeight="1" x14ac:dyDescent="0.25">
      <c r="A47" s="105" t="s">
        <v>159</v>
      </c>
      <c r="B47" s="171"/>
      <c r="C47" s="39"/>
      <c r="D47" s="99"/>
      <c r="E47" s="89"/>
      <c r="F47" s="89"/>
      <c r="G47" s="89"/>
      <c r="H47" s="89"/>
      <c r="I47" s="89"/>
      <c r="J47" s="89"/>
      <c r="K47" s="97"/>
      <c r="L47" s="176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173"/>
      <c r="AM47" s="63"/>
      <c r="AN47" s="63"/>
      <c r="AO47" s="63"/>
      <c r="AP47" s="63"/>
      <c r="AQ47" s="63"/>
      <c r="AR47" s="63"/>
      <c r="AS47" s="63"/>
      <c r="AT47" s="37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169"/>
    </row>
    <row r="48" spans="1:57" ht="24.95" customHeight="1" x14ac:dyDescent="0.25">
      <c r="A48" s="105" t="s">
        <v>85</v>
      </c>
      <c r="B48" s="171"/>
      <c r="C48" s="39"/>
      <c r="D48" s="99"/>
      <c r="E48" s="89"/>
      <c r="F48" s="89"/>
      <c r="G48" s="89"/>
      <c r="H48" s="89"/>
      <c r="I48" s="89"/>
      <c r="J48" s="89"/>
      <c r="K48" s="97"/>
      <c r="L48" s="176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173"/>
      <c r="AM48" s="63"/>
      <c r="AN48" s="63"/>
      <c r="AO48" s="63"/>
      <c r="AP48" s="63"/>
      <c r="AQ48" s="63"/>
      <c r="AR48" s="63"/>
      <c r="AS48" s="63"/>
      <c r="AT48" s="37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169"/>
    </row>
    <row r="49" spans="1:57" ht="24.95" customHeight="1" x14ac:dyDescent="0.25">
      <c r="A49" s="105" t="s">
        <v>60</v>
      </c>
      <c r="B49" s="171"/>
      <c r="C49" s="39"/>
      <c r="D49" s="99"/>
      <c r="E49" s="89"/>
      <c r="F49" s="89"/>
      <c r="G49" s="89"/>
      <c r="H49" s="89"/>
      <c r="I49" s="89"/>
      <c r="J49" s="89"/>
      <c r="K49" s="97"/>
      <c r="L49" s="176"/>
      <c r="M49" s="124" t="s">
        <v>43</v>
      </c>
      <c r="N49" s="124"/>
      <c r="O49" s="124"/>
      <c r="P49" s="124"/>
      <c r="Q49" s="124"/>
      <c r="R49" s="124"/>
      <c r="S49" s="125"/>
      <c r="T49" s="88"/>
      <c r="U49" s="123" t="s">
        <v>47</v>
      </c>
      <c r="V49" s="124"/>
      <c r="W49" s="124"/>
      <c r="X49" s="124"/>
      <c r="Y49" s="125"/>
      <c r="Z49" s="88"/>
      <c r="AA49" s="123" t="s">
        <v>121</v>
      </c>
      <c r="AB49" s="124"/>
      <c r="AC49" s="124"/>
      <c r="AD49" s="124"/>
      <c r="AE49" s="125"/>
      <c r="AF49" s="63"/>
      <c r="AG49" s="123" t="s">
        <v>50</v>
      </c>
      <c r="AH49" s="124"/>
      <c r="AI49" s="124"/>
      <c r="AJ49" s="124"/>
      <c r="AK49" s="124"/>
      <c r="AL49" s="173"/>
      <c r="AM49" s="63"/>
      <c r="AN49" s="63"/>
      <c r="AO49" s="63"/>
      <c r="AP49" s="63"/>
      <c r="AQ49" s="63"/>
      <c r="AR49" s="63"/>
      <c r="AS49" s="63"/>
      <c r="AT49" s="37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169"/>
    </row>
    <row r="50" spans="1:57" ht="24.95" customHeight="1" x14ac:dyDescent="0.2">
      <c r="A50" s="105" t="s">
        <v>92</v>
      </c>
      <c r="B50" s="171"/>
      <c r="C50" s="38"/>
      <c r="D50" s="63"/>
      <c r="E50" s="90"/>
      <c r="F50" s="89"/>
      <c r="G50" s="90"/>
      <c r="H50" s="89"/>
      <c r="I50" s="89"/>
      <c r="J50" s="89"/>
      <c r="K50" s="63"/>
      <c r="L50" s="176"/>
      <c r="M50" s="127"/>
      <c r="N50" s="127"/>
      <c r="O50" s="127"/>
      <c r="P50" s="127"/>
      <c r="Q50" s="127"/>
      <c r="R50" s="127"/>
      <c r="S50" s="128"/>
      <c r="T50" s="88"/>
      <c r="U50" s="126"/>
      <c r="V50" s="127"/>
      <c r="W50" s="127"/>
      <c r="X50" s="127"/>
      <c r="Y50" s="128"/>
      <c r="Z50" s="88"/>
      <c r="AA50" s="126"/>
      <c r="AB50" s="127"/>
      <c r="AC50" s="127"/>
      <c r="AD50" s="127"/>
      <c r="AE50" s="128"/>
      <c r="AF50" s="63"/>
      <c r="AG50" s="126"/>
      <c r="AH50" s="127"/>
      <c r="AI50" s="127"/>
      <c r="AJ50" s="127"/>
      <c r="AK50" s="127"/>
      <c r="AL50" s="173"/>
      <c r="AM50" s="63"/>
      <c r="AN50" s="63"/>
      <c r="AO50" s="63"/>
      <c r="AP50" s="63"/>
      <c r="AQ50" s="63"/>
      <c r="AR50" s="63"/>
      <c r="AS50" s="63"/>
      <c r="AT50" s="37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169"/>
    </row>
    <row r="51" spans="1:57" ht="24.95" customHeight="1" x14ac:dyDescent="0.2">
      <c r="A51" s="105" t="s">
        <v>59</v>
      </c>
      <c r="B51" s="171"/>
      <c r="C51" s="38"/>
      <c r="D51" s="63"/>
      <c r="E51" s="90"/>
      <c r="F51" s="89"/>
      <c r="G51" s="90"/>
      <c r="H51" s="89"/>
      <c r="I51" s="89"/>
      <c r="J51" s="89"/>
      <c r="K51" s="63"/>
      <c r="L51" s="176"/>
      <c r="M51" s="130"/>
      <c r="N51" s="130"/>
      <c r="O51" s="130"/>
      <c r="P51" s="130"/>
      <c r="Q51" s="130"/>
      <c r="R51" s="130"/>
      <c r="S51" s="131"/>
      <c r="T51" s="88"/>
      <c r="U51" s="129"/>
      <c r="V51" s="130"/>
      <c r="W51" s="130"/>
      <c r="X51" s="130"/>
      <c r="Y51" s="131"/>
      <c r="Z51" s="88"/>
      <c r="AA51" s="129"/>
      <c r="AB51" s="130"/>
      <c r="AC51" s="130"/>
      <c r="AD51" s="130"/>
      <c r="AE51" s="131"/>
      <c r="AF51" s="63"/>
      <c r="AG51" s="129"/>
      <c r="AH51" s="130"/>
      <c r="AI51" s="130"/>
      <c r="AJ51" s="130"/>
      <c r="AK51" s="130"/>
      <c r="AL51" s="173"/>
      <c r="AM51" s="63"/>
      <c r="AN51" s="63"/>
      <c r="AO51" s="63"/>
      <c r="AP51" s="63"/>
      <c r="AQ51" s="63"/>
      <c r="AR51" s="63"/>
      <c r="AS51" s="63"/>
      <c r="AT51" s="37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169"/>
    </row>
    <row r="52" spans="1:57" ht="24.95" customHeight="1" x14ac:dyDescent="0.2">
      <c r="A52" s="105" t="s">
        <v>160</v>
      </c>
      <c r="B52" s="171"/>
      <c r="C52" s="38"/>
      <c r="D52" s="63"/>
      <c r="E52" s="90"/>
      <c r="F52" s="89"/>
      <c r="G52" s="90"/>
      <c r="H52" s="89"/>
      <c r="I52" s="89"/>
      <c r="J52" s="89"/>
      <c r="K52" s="63"/>
      <c r="L52" s="176"/>
      <c r="M52" s="136"/>
      <c r="N52" s="136"/>
      <c r="O52" s="136"/>
      <c r="P52" s="136"/>
      <c r="Q52" s="136"/>
      <c r="R52" s="136"/>
      <c r="S52" s="137"/>
      <c r="T52" s="63"/>
      <c r="U52" s="135"/>
      <c r="V52" s="136"/>
      <c r="W52" s="136"/>
      <c r="X52" s="136"/>
      <c r="Y52" s="137"/>
      <c r="Z52" s="63"/>
      <c r="AA52" s="135"/>
      <c r="AB52" s="136"/>
      <c r="AC52" s="136"/>
      <c r="AD52" s="136"/>
      <c r="AE52" s="137"/>
      <c r="AF52" s="63"/>
      <c r="AG52" s="135"/>
      <c r="AH52" s="136"/>
      <c r="AI52" s="136"/>
      <c r="AJ52" s="136"/>
      <c r="AK52" s="136"/>
      <c r="AL52" s="173"/>
      <c r="AM52" s="63"/>
      <c r="AN52" s="63"/>
      <c r="AO52" s="63"/>
      <c r="AP52" s="63"/>
      <c r="AQ52" s="63"/>
      <c r="AR52" s="63"/>
      <c r="AS52" s="63"/>
      <c r="AT52" s="37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169"/>
    </row>
    <row r="53" spans="1:57" ht="24.95" customHeight="1" x14ac:dyDescent="0.3">
      <c r="A53" s="105" t="s">
        <v>161</v>
      </c>
      <c r="B53" s="171"/>
      <c r="C53" s="38"/>
      <c r="D53" s="63"/>
      <c r="E53" s="90"/>
      <c r="F53" s="89"/>
      <c r="G53" s="90"/>
      <c r="H53" s="89"/>
      <c r="I53" s="89"/>
      <c r="J53" s="89"/>
      <c r="K53" s="63"/>
      <c r="L53" s="176"/>
      <c r="M53" s="178"/>
      <c r="P53" s="17">
        <v>4</v>
      </c>
      <c r="Q53" s="18" t="s">
        <v>30</v>
      </c>
      <c r="R53" s="19"/>
      <c r="S53" s="141"/>
      <c r="T53" s="63"/>
      <c r="U53" s="141"/>
      <c r="V53" s="4">
        <v>4</v>
      </c>
      <c r="W53" s="144" t="s">
        <v>30</v>
      </c>
      <c r="X53" s="145"/>
      <c r="Y53" s="141"/>
      <c r="Z53" s="100"/>
      <c r="AA53" s="64"/>
      <c r="AB53" s="4">
        <v>4</v>
      </c>
      <c r="AC53" s="144" t="s">
        <v>30</v>
      </c>
      <c r="AD53" s="145"/>
      <c r="AE53" s="64"/>
      <c r="AF53" s="63"/>
      <c r="AG53" s="64"/>
      <c r="AH53" s="4">
        <v>6</v>
      </c>
      <c r="AI53" s="144" t="s">
        <v>30</v>
      </c>
      <c r="AJ53" s="145"/>
      <c r="AK53" s="74"/>
      <c r="AL53" s="173"/>
      <c r="AM53" s="63"/>
      <c r="AN53" s="63"/>
      <c r="AO53" s="63"/>
      <c r="AP53" s="63"/>
      <c r="AQ53" s="63"/>
      <c r="AR53" s="63"/>
      <c r="AS53" s="63"/>
      <c r="AT53" s="37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169"/>
    </row>
    <row r="54" spans="1:57" ht="24.95" customHeight="1" x14ac:dyDescent="0.2">
      <c r="A54" s="105" t="s">
        <v>75</v>
      </c>
      <c r="B54" s="171"/>
      <c r="C54" s="38"/>
      <c r="D54" s="63"/>
      <c r="E54" s="90"/>
      <c r="F54" s="89"/>
      <c r="G54" s="90"/>
      <c r="H54" s="89"/>
      <c r="I54" s="89"/>
      <c r="J54" s="89"/>
      <c r="K54" s="63"/>
      <c r="L54" s="176"/>
      <c r="M54" s="152"/>
      <c r="P54" s="3" t="s">
        <v>31</v>
      </c>
      <c r="Q54" s="14" t="s">
        <v>1</v>
      </c>
      <c r="R54" s="3" t="s">
        <v>32</v>
      </c>
      <c r="S54" s="142"/>
      <c r="T54" s="63"/>
      <c r="U54" s="142"/>
      <c r="V54" s="3" t="s">
        <v>31</v>
      </c>
      <c r="W54" s="14" t="s">
        <v>1</v>
      </c>
      <c r="X54" s="3" t="s">
        <v>32</v>
      </c>
      <c r="Y54" s="142"/>
      <c r="Z54" s="89"/>
      <c r="AA54" s="65"/>
      <c r="AB54" s="3" t="s">
        <v>31</v>
      </c>
      <c r="AC54" s="14" t="s">
        <v>1</v>
      </c>
      <c r="AD54" s="3" t="s">
        <v>32</v>
      </c>
      <c r="AE54" s="65"/>
      <c r="AF54" s="63"/>
      <c r="AG54" s="65"/>
      <c r="AH54" s="3" t="s">
        <v>31</v>
      </c>
      <c r="AI54" s="14" t="s">
        <v>1</v>
      </c>
      <c r="AJ54" s="3" t="s">
        <v>32</v>
      </c>
      <c r="AK54" s="75"/>
      <c r="AL54" s="173"/>
      <c r="AM54" s="63"/>
      <c r="AN54" s="63"/>
      <c r="AO54" s="63"/>
      <c r="AP54" s="63"/>
      <c r="AQ54" s="63"/>
      <c r="AR54" s="63"/>
      <c r="AS54" s="63"/>
      <c r="AT54" s="37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169"/>
    </row>
    <row r="55" spans="1:57" ht="24.95" customHeight="1" x14ac:dyDescent="0.2">
      <c r="A55" s="105" t="s">
        <v>162</v>
      </c>
      <c r="B55" s="171"/>
      <c r="C55" s="38"/>
      <c r="D55" s="63"/>
      <c r="E55" s="90"/>
      <c r="F55" s="89"/>
      <c r="G55" s="90"/>
      <c r="H55" s="89"/>
      <c r="I55" s="89"/>
      <c r="J55" s="89"/>
      <c r="K55" s="63"/>
      <c r="L55" s="176"/>
      <c r="M55" s="152"/>
      <c r="P55" s="146" t="s">
        <v>57</v>
      </c>
      <c r="Q55" s="10" t="str">
        <f>IF(ISBLANK($R$19),"A3",$R$19)</f>
        <v>A3</v>
      </c>
      <c r="R55" s="5"/>
      <c r="S55" s="142"/>
      <c r="T55" s="63"/>
      <c r="U55" s="142"/>
      <c r="V55" s="138" t="s">
        <v>115</v>
      </c>
      <c r="W55" s="10" t="str">
        <f>IF(ISBLANK($R$55),"L1",$R$55)</f>
        <v>L1</v>
      </c>
      <c r="X55" s="5"/>
      <c r="Y55" s="142"/>
      <c r="Z55" s="94"/>
      <c r="AA55" s="65"/>
      <c r="AB55" s="138" t="s">
        <v>118</v>
      </c>
      <c r="AC55" s="10" t="str">
        <f>IF(ISBLANK($X$55),"O1",$X$55)</f>
        <v>O1</v>
      </c>
      <c r="AD55" s="5"/>
      <c r="AE55" s="65"/>
      <c r="AF55" s="63"/>
      <c r="AG55" s="65"/>
      <c r="AH55" s="138" t="s">
        <v>112</v>
      </c>
      <c r="AI55" s="10" t="str">
        <f>IF(ISBLANK($AD$55),"R1",$AD$55)</f>
        <v>R1</v>
      </c>
      <c r="AJ55" s="5"/>
      <c r="AK55" s="75"/>
      <c r="AL55" s="173"/>
      <c r="AM55" s="63"/>
      <c r="AN55" s="63"/>
      <c r="AO55" s="63"/>
      <c r="AP55" s="63"/>
      <c r="AQ55" s="63"/>
      <c r="AR55" s="63"/>
      <c r="AS55" s="63"/>
      <c r="AT55" s="37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169"/>
    </row>
    <row r="56" spans="1:57" ht="24.95" customHeight="1" x14ac:dyDescent="0.2">
      <c r="A56" s="105" t="s">
        <v>163</v>
      </c>
      <c r="B56" s="171"/>
      <c r="C56" s="38"/>
      <c r="D56" s="63"/>
      <c r="E56" s="90"/>
      <c r="F56" s="89"/>
      <c r="G56" s="90"/>
      <c r="H56" s="89"/>
      <c r="I56" s="89"/>
      <c r="J56" s="89"/>
      <c r="K56" s="63"/>
      <c r="L56" s="176"/>
      <c r="M56" s="152"/>
      <c r="P56" s="147"/>
      <c r="Q56" s="11" t="str">
        <f>IF(ISBLANK($R$31),"D3",$R$31)</f>
        <v>D3</v>
      </c>
      <c r="R56" s="13"/>
      <c r="S56" s="142"/>
      <c r="T56" s="63"/>
      <c r="U56" s="142"/>
      <c r="V56" s="139"/>
      <c r="W56" s="11" t="str">
        <f>IF(ISBLANK($R$60),"M2",$R$60)</f>
        <v>M2</v>
      </c>
      <c r="X56" s="13"/>
      <c r="Y56" s="142"/>
      <c r="Z56" s="94"/>
      <c r="AA56" s="65"/>
      <c r="AB56" s="139"/>
      <c r="AC56" s="21" t="str">
        <f>IF(ISBLANK($X$59),"P1",$X$59)</f>
        <v>P1</v>
      </c>
      <c r="AD56" s="73"/>
      <c r="AE56" s="66"/>
      <c r="AF56" s="63"/>
      <c r="AG56" s="65"/>
      <c r="AH56" s="139"/>
      <c r="AI56" s="11" t="str">
        <f>IF(ISBLANK($AD$59),"S1",$AD$59)</f>
        <v>S1</v>
      </c>
      <c r="AJ56" s="13"/>
      <c r="AK56" s="75"/>
      <c r="AL56" s="173"/>
      <c r="AM56" s="63"/>
      <c r="AN56" s="63"/>
      <c r="AO56" s="63"/>
      <c r="AP56" s="63"/>
      <c r="AQ56" s="63"/>
      <c r="AR56" s="63"/>
      <c r="AS56" s="63"/>
      <c r="AT56" s="37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169"/>
    </row>
    <row r="57" spans="1:57" ht="24.95" customHeight="1" x14ac:dyDescent="0.2">
      <c r="A57" s="105" t="s">
        <v>164</v>
      </c>
      <c r="B57" s="171"/>
      <c r="C57" s="38"/>
      <c r="D57" s="63"/>
      <c r="E57" s="90"/>
      <c r="F57" s="89"/>
      <c r="G57" s="90"/>
      <c r="H57" s="89"/>
      <c r="I57" s="89"/>
      <c r="J57" s="89"/>
      <c r="K57" s="63"/>
      <c r="L57" s="176"/>
      <c r="M57" s="152"/>
      <c r="P57" s="147"/>
      <c r="Q57" s="11" t="str">
        <f>IF(ISBLANK($R$24),"B4",$R$24)</f>
        <v>B4</v>
      </c>
      <c r="R57" s="6"/>
      <c r="S57" s="142"/>
      <c r="T57" s="63"/>
      <c r="U57" s="142"/>
      <c r="V57" s="139"/>
      <c r="W57" s="11" t="str">
        <f>IF(ISBLANK($X$19),"G3",$X$19)</f>
        <v>G3</v>
      </c>
      <c r="X57" s="6"/>
      <c r="Y57" s="142"/>
      <c r="Z57" s="94"/>
      <c r="AA57" s="65"/>
      <c r="AB57" s="139"/>
      <c r="AC57" s="11" t="str">
        <f>IF(ISBLANK($X$64),"Q2",$X$64)</f>
        <v>Q2</v>
      </c>
      <c r="AD57" s="6"/>
      <c r="AE57" s="65"/>
      <c r="AF57" s="63"/>
      <c r="AG57" s="65"/>
      <c r="AH57" s="139"/>
      <c r="AI57" s="11" t="str">
        <f>IF(ISBLANK($AJ$19),"WF3",$AJ$19)</f>
        <v>WF3</v>
      </c>
      <c r="AJ57" s="6"/>
      <c r="AK57" s="75"/>
      <c r="AL57" s="173"/>
      <c r="AM57" s="63"/>
      <c r="AN57" s="63"/>
      <c r="AO57" s="63"/>
      <c r="AP57" s="63"/>
      <c r="AQ57" s="63"/>
      <c r="AR57" s="63"/>
      <c r="AS57" s="63"/>
      <c r="AT57" s="37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169"/>
    </row>
    <row r="58" spans="1:57" ht="24.95" customHeight="1" x14ac:dyDescent="0.2">
      <c r="A58" s="105" t="s">
        <v>165</v>
      </c>
      <c r="B58" s="171"/>
      <c r="C58" s="38"/>
      <c r="D58" s="63"/>
      <c r="E58" s="90"/>
      <c r="F58" s="89"/>
      <c r="G58" s="90"/>
      <c r="H58" s="89"/>
      <c r="I58" s="89"/>
      <c r="J58" s="89"/>
      <c r="K58" s="63"/>
      <c r="L58" s="176"/>
      <c r="M58" s="152"/>
      <c r="P58" s="148"/>
      <c r="Q58" s="11" t="str">
        <f>IF(ISBLANK($R$36),"E4",$R$36)</f>
        <v>E4</v>
      </c>
      <c r="R58" s="7"/>
      <c r="S58" s="142"/>
      <c r="T58" s="63"/>
      <c r="U58" s="142"/>
      <c r="V58" s="140"/>
      <c r="W58" s="11" t="str">
        <f>IF(ISBLANK($X$24),"H4",$X$24)</f>
        <v>H4</v>
      </c>
      <c r="X58" s="7"/>
      <c r="Y58" s="142"/>
      <c r="Z58" s="94"/>
      <c r="AA58" s="65"/>
      <c r="AB58" s="140"/>
      <c r="AC58" s="11" t="str">
        <f>IF(ISBLANK($AD$19),"J3",$AD$19)</f>
        <v>J3</v>
      </c>
      <c r="AD58" s="7"/>
      <c r="AE58" s="65"/>
      <c r="AF58" s="101"/>
      <c r="AG58" s="65"/>
      <c r="AH58" s="139"/>
      <c r="AI58" s="11" t="str">
        <f>IF(ISBLANK($AJ$20),"WF4",$AJ$20)</f>
        <v>WF4</v>
      </c>
      <c r="AJ58" s="6"/>
      <c r="AK58" s="75"/>
      <c r="AL58" s="173"/>
      <c r="AM58" s="63"/>
      <c r="AN58" s="63"/>
      <c r="AO58" s="63"/>
      <c r="AP58" s="63"/>
      <c r="AQ58" s="63"/>
      <c r="AR58" s="63"/>
      <c r="AS58" s="63"/>
      <c r="AT58" s="37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169"/>
    </row>
    <row r="59" spans="1:57" ht="24.95" customHeight="1" x14ac:dyDescent="0.2">
      <c r="A59" s="105" t="s">
        <v>166</v>
      </c>
      <c r="B59" s="171"/>
      <c r="C59" s="38"/>
      <c r="D59" s="63"/>
      <c r="E59" s="90"/>
      <c r="F59" s="89"/>
      <c r="G59" s="90"/>
      <c r="H59" s="89"/>
      <c r="I59" s="89"/>
      <c r="J59" s="89"/>
      <c r="K59" s="63"/>
      <c r="L59" s="176"/>
      <c r="M59" s="152"/>
      <c r="P59" s="146" t="s">
        <v>113</v>
      </c>
      <c r="Q59" s="10" t="str">
        <f>IF(ISBLANK($R$23),"B3",$R$23)</f>
        <v>B3</v>
      </c>
      <c r="R59" s="5"/>
      <c r="S59" s="142"/>
      <c r="T59" s="63"/>
      <c r="U59" s="142"/>
      <c r="V59" s="138" t="s">
        <v>116</v>
      </c>
      <c r="W59" s="10" t="str">
        <f>IF(ISBLANK($R$59),"M1",$R$59)</f>
        <v>M1</v>
      </c>
      <c r="X59" s="5"/>
      <c r="Y59" s="142"/>
      <c r="Z59" s="94"/>
      <c r="AA59" s="65"/>
      <c r="AB59" s="138" t="s">
        <v>119</v>
      </c>
      <c r="AC59" s="10" t="str">
        <f>IF(ISBLANK($X$63),"Q1",$X$63)</f>
        <v>Q1</v>
      </c>
      <c r="AD59" s="5"/>
      <c r="AE59" s="65"/>
      <c r="AF59" s="101"/>
      <c r="AG59" s="135"/>
      <c r="AH59" s="136"/>
      <c r="AI59" s="136"/>
      <c r="AJ59" s="136"/>
      <c r="AK59" s="136"/>
      <c r="AL59" s="173"/>
      <c r="AM59" s="63"/>
      <c r="AN59" s="63"/>
      <c r="AO59" s="63"/>
      <c r="AP59" s="63"/>
      <c r="AQ59" s="63"/>
      <c r="AR59" s="63"/>
      <c r="AS59" s="63"/>
      <c r="AT59" s="37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169"/>
    </row>
    <row r="60" spans="1:57" ht="24.95" customHeight="1" x14ac:dyDescent="0.2">
      <c r="A60" s="105" t="s">
        <v>167</v>
      </c>
      <c r="B60" s="171"/>
      <c r="C60" s="38"/>
      <c r="D60" s="63"/>
      <c r="E60" s="90"/>
      <c r="F60" s="89"/>
      <c r="G60" s="90"/>
      <c r="H60" s="89"/>
      <c r="I60" s="89"/>
      <c r="J60" s="89"/>
      <c r="K60" s="63"/>
      <c r="L60" s="176"/>
      <c r="M60" s="152"/>
      <c r="P60" s="147"/>
      <c r="Q60" s="11" t="str">
        <f>IF(ISBLANK($R$35),"E3",$R$35)</f>
        <v>E3</v>
      </c>
      <c r="R60" s="13"/>
      <c r="S60" s="142"/>
      <c r="T60" s="63"/>
      <c r="U60" s="142"/>
      <c r="V60" s="139"/>
      <c r="W60" s="11" t="str">
        <f>IF(ISBLANK($R$64),"N2",$R$64)</f>
        <v>N2</v>
      </c>
      <c r="X60" s="13"/>
      <c r="Y60" s="142"/>
      <c r="Z60" s="94"/>
      <c r="AA60" s="65"/>
      <c r="AB60" s="139"/>
      <c r="AC60" s="21" t="str">
        <f>IF(ISBLANK($X$56),"O2",$X$56)</f>
        <v>O2</v>
      </c>
      <c r="AD60" s="73"/>
      <c r="AE60" s="66"/>
      <c r="AF60" s="101"/>
      <c r="AG60" s="63"/>
      <c r="AH60" s="93"/>
      <c r="AI60" s="94"/>
      <c r="AJ60" s="95"/>
      <c r="AK60" s="63"/>
      <c r="AL60" s="173"/>
      <c r="AM60" s="63"/>
      <c r="AN60" s="63"/>
      <c r="AO60" s="63"/>
      <c r="AP60" s="63"/>
      <c r="AQ60" s="63"/>
      <c r="AR60" s="63"/>
      <c r="AS60" s="63"/>
      <c r="AT60" s="37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169"/>
    </row>
    <row r="61" spans="1:57" ht="24.95" customHeight="1" x14ac:dyDescent="0.2">
      <c r="A61" s="105" t="s">
        <v>168</v>
      </c>
      <c r="B61" s="171"/>
      <c r="C61" s="38"/>
      <c r="D61" s="63"/>
      <c r="E61" s="90"/>
      <c r="F61" s="89"/>
      <c r="G61" s="90"/>
      <c r="H61" s="89"/>
      <c r="I61" s="89"/>
      <c r="J61" s="89"/>
      <c r="K61" s="63"/>
      <c r="L61" s="176"/>
      <c r="M61" s="152"/>
      <c r="P61" s="147"/>
      <c r="Q61" s="11" t="str">
        <f>IF(ISBLANK($R$28),"C4",$R$28)</f>
        <v>C4</v>
      </c>
      <c r="R61" s="6"/>
      <c r="S61" s="142"/>
      <c r="T61" s="63"/>
      <c r="U61" s="142"/>
      <c r="V61" s="139"/>
      <c r="W61" s="11" t="str">
        <f>IF(ISBLANK($X$23),"H3",$X$23)</f>
        <v>H3</v>
      </c>
      <c r="X61" s="6"/>
      <c r="Y61" s="142"/>
      <c r="Z61" s="94"/>
      <c r="AA61" s="65"/>
      <c r="AB61" s="139"/>
      <c r="AC61" s="11" t="str">
        <f>IF(ISBLANK($X$60),"P2",$X$60)</f>
        <v>P2</v>
      </c>
      <c r="AD61" s="6"/>
      <c r="AE61" s="65"/>
      <c r="AF61" s="101"/>
      <c r="AG61" s="63"/>
      <c r="AH61" s="93"/>
      <c r="AI61" s="102"/>
      <c r="AJ61" s="102"/>
      <c r="AK61" s="63"/>
      <c r="AL61" s="173"/>
      <c r="AM61" s="63"/>
      <c r="AN61" s="63"/>
      <c r="AO61" s="63"/>
      <c r="AP61" s="63"/>
      <c r="AQ61" s="63"/>
      <c r="AR61" s="63"/>
      <c r="AS61" s="63"/>
      <c r="AT61" s="37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169"/>
    </row>
    <row r="62" spans="1:57" ht="24.95" customHeight="1" x14ac:dyDescent="0.2">
      <c r="A62" s="105" t="s">
        <v>169</v>
      </c>
      <c r="B62" s="171"/>
      <c r="C62" s="38"/>
      <c r="D62" s="63"/>
      <c r="E62" s="90"/>
      <c r="F62" s="89"/>
      <c r="G62" s="90"/>
      <c r="H62" s="89"/>
      <c r="I62" s="89"/>
      <c r="J62" s="89"/>
      <c r="K62" s="63"/>
      <c r="L62" s="176"/>
      <c r="M62" s="152"/>
      <c r="P62" s="148"/>
      <c r="Q62" s="11" t="str">
        <f>IF(ISBLANK($R$40),"F4",$R$40)</f>
        <v>F4</v>
      </c>
      <c r="R62" s="6"/>
      <c r="S62" s="142"/>
      <c r="T62" s="63"/>
      <c r="U62" s="142"/>
      <c r="V62" s="140"/>
      <c r="W62" s="12" t="str">
        <f>IF(ISBLANK($X$28),"I4",$X$28)</f>
        <v>I4</v>
      </c>
      <c r="X62" s="7"/>
      <c r="Y62" s="142"/>
      <c r="Z62" s="94"/>
      <c r="AA62" s="65"/>
      <c r="AB62" s="139"/>
      <c r="AC62" s="11" t="str">
        <f>IF(ISBLANK($AD$22),"K3",$AD$22)</f>
        <v>K3</v>
      </c>
      <c r="AD62" s="6"/>
      <c r="AE62" s="65"/>
      <c r="AF62" s="101"/>
      <c r="AG62" s="63"/>
      <c r="AH62" s="93"/>
      <c r="AI62" s="94"/>
      <c r="AJ62" s="95"/>
      <c r="AK62" s="63"/>
      <c r="AL62" s="173"/>
      <c r="AM62" s="63"/>
      <c r="AN62" s="63"/>
      <c r="AO62" s="63"/>
      <c r="AP62" s="63"/>
      <c r="AQ62" s="63"/>
      <c r="AR62" s="63"/>
      <c r="AS62" s="63"/>
      <c r="AT62" s="37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169"/>
    </row>
    <row r="63" spans="1:57" ht="24.95" customHeight="1" x14ac:dyDescent="0.2">
      <c r="A63" s="105" t="s">
        <v>170</v>
      </c>
      <c r="B63" s="171"/>
      <c r="C63" s="38"/>
      <c r="D63" s="63"/>
      <c r="E63" s="90"/>
      <c r="F63" s="89"/>
      <c r="G63" s="90"/>
      <c r="H63" s="89"/>
      <c r="I63" s="89"/>
      <c r="J63" s="89"/>
      <c r="K63" s="63"/>
      <c r="L63" s="176"/>
      <c r="M63" s="152"/>
      <c r="P63" s="146" t="s">
        <v>114</v>
      </c>
      <c r="Q63" s="10" t="str">
        <f>IF(ISBLANK($R$27),"C3",$R$27)</f>
        <v>C3</v>
      </c>
      <c r="R63" s="5"/>
      <c r="S63" s="142"/>
      <c r="T63" s="63"/>
      <c r="U63" s="142"/>
      <c r="V63" s="138" t="s">
        <v>117</v>
      </c>
      <c r="W63" s="10" t="str">
        <f>IF(ISBLANK($R$63),"N1",$R$63)</f>
        <v>N1</v>
      </c>
      <c r="X63" s="5"/>
      <c r="Y63" s="142"/>
      <c r="Z63" s="63"/>
      <c r="AA63" s="135"/>
      <c r="AB63" s="136"/>
      <c r="AC63" s="136"/>
      <c r="AD63" s="136"/>
      <c r="AE63" s="137"/>
      <c r="AF63" s="101"/>
      <c r="AG63" s="63"/>
      <c r="AH63" s="93"/>
      <c r="AI63" s="94"/>
      <c r="AJ63" s="95"/>
      <c r="AK63" s="63"/>
      <c r="AL63" s="173"/>
      <c r="AM63" s="63"/>
      <c r="AN63" s="63"/>
      <c r="AO63" s="63"/>
      <c r="AP63" s="63"/>
      <c r="AQ63" s="63"/>
      <c r="AR63" s="63"/>
      <c r="AS63" s="63"/>
      <c r="AT63" s="37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169"/>
    </row>
    <row r="64" spans="1:57" ht="24.95" customHeight="1" x14ac:dyDescent="0.2">
      <c r="A64" s="105" t="s">
        <v>98</v>
      </c>
      <c r="B64" s="171"/>
      <c r="C64" s="38"/>
      <c r="D64" s="63"/>
      <c r="E64" s="90"/>
      <c r="F64" s="89"/>
      <c r="G64" s="90"/>
      <c r="H64" s="89"/>
      <c r="I64" s="89"/>
      <c r="J64" s="89"/>
      <c r="K64" s="63"/>
      <c r="L64" s="176"/>
      <c r="M64" s="152"/>
      <c r="P64" s="147"/>
      <c r="Q64" s="11" t="str">
        <f>IF(ISBLANK($R$39),"F3",$R$39)</f>
        <v>F3</v>
      </c>
      <c r="R64" s="13"/>
      <c r="S64" s="142"/>
      <c r="T64" s="63"/>
      <c r="U64" s="142"/>
      <c r="V64" s="139"/>
      <c r="W64" s="11" t="str">
        <f>IF(ISBLANK($R$56),"L2",$R$56)</f>
        <v>L2</v>
      </c>
      <c r="X64" s="13"/>
      <c r="Y64" s="142"/>
      <c r="Z64" s="63"/>
      <c r="AA64" s="63"/>
      <c r="AB64" s="93"/>
      <c r="AC64" s="94"/>
      <c r="AD64" s="95"/>
      <c r="AE64" s="63"/>
      <c r="AF64" s="101"/>
      <c r="AG64" s="63"/>
      <c r="AH64" s="93"/>
      <c r="AI64" s="94"/>
      <c r="AJ64" s="95"/>
      <c r="AK64" s="63"/>
      <c r="AL64" s="173"/>
      <c r="AM64" s="63"/>
      <c r="AN64" s="63"/>
      <c r="AO64" s="63"/>
      <c r="AP64" s="63"/>
      <c r="AQ64" s="63"/>
      <c r="AR64" s="63"/>
      <c r="AS64" s="63"/>
      <c r="AT64" s="37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169"/>
    </row>
    <row r="65" spans="1:57" ht="24.95" customHeight="1" x14ac:dyDescent="0.2">
      <c r="A65" s="105" t="s">
        <v>88</v>
      </c>
      <c r="B65" s="171"/>
      <c r="C65" s="38"/>
      <c r="D65" s="63"/>
      <c r="E65" s="90"/>
      <c r="F65" s="89"/>
      <c r="G65" s="90"/>
      <c r="H65" s="89"/>
      <c r="I65" s="89"/>
      <c r="J65" s="89"/>
      <c r="K65" s="63"/>
      <c r="L65" s="176"/>
      <c r="M65" s="152"/>
      <c r="P65" s="147"/>
      <c r="Q65" s="11" t="str">
        <f>IF(ISBLANK($R$20),"A4",$R$20)</f>
        <v>A4</v>
      </c>
      <c r="R65" s="6"/>
      <c r="S65" s="142"/>
      <c r="T65" s="63"/>
      <c r="U65" s="142"/>
      <c r="V65" s="139"/>
      <c r="W65" s="11" t="str">
        <f>IF(ISBLANK($X$27),"I3",$X$27)</f>
        <v>I3</v>
      </c>
      <c r="X65" s="6"/>
      <c r="Y65" s="142"/>
      <c r="Z65" s="63"/>
      <c r="AA65" s="63"/>
      <c r="AB65" s="93"/>
      <c r="AC65" s="94"/>
      <c r="AD65" s="95"/>
      <c r="AE65" s="63"/>
      <c r="AF65" s="101"/>
      <c r="AG65" s="63"/>
      <c r="AH65" s="93"/>
      <c r="AI65" s="94"/>
      <c r="AJ65" s="95"/>
      <c r="AK65" s="63"/>
      <c r="AL65" s="173"/>
      <c r="AM65" s="63"/>
      <c r="AN65" s="63"/>
      <c r="AO65" s="63"/>
      <c r="AP65" s="63"/>
      <c r="AQ65" s="63"/>
      <c r="AR65" s="63"/>
      <c r="AS65" s="63"/>
      <c r="AT65" s="37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169"/>
    </row>
    <row r="66" spans="1:57" ht="24.75" customHeight="1" x14ac:dyDescent="0.2">
      <c r="A66" s="105" t="s">
        <v>171</v>
      </c>
      <c r="B66" s="171"/>
      <c r="C66" s="38"/>
      <c r="D66" s="63"/>
      <c r="E66" s="90"/>
      <c r="F66" s="89"/>
      <c r="G66" s="90"/>
      <c r="H66" s="89"/>
      <c r="I66" s="89"/>
      <c r="J66" s="89"/>
      <c r="K66" s="63"/>
      <c r="L66" s="176"/>
      <c r="M66" s="164"/>
      <c r="P66" s="148"/>
      <c r="Q66" s="11" t="str">
        <f>IF(ISBLANK($R$32),"D4",$R$32)</f>
        <v>D4</v>
      </c>
      <c r="R66" s="6"/>
      <c r="S66" s="143"/>
      <c r="T66" s="63"/>
      <c r="U66" s="143"/>
      <c r="V66" s="140"/>
      <c r="W66" s="12" t="str">
        <f>IF(ISBLANK($X$20),"G4",$X$20)</f>
        <v>G4</v>
      </c>
      <c r="X66" s="7"/>
      <c r="Y66" s="143"/>
      <c r="Z66" s="63"/>
      <c r="AA66" s="63"/>
      <c r="AB66" s="93"/>
      <c r="AC66" s="94"/>
      <c r="AD66" s="95"/>
      <c r="AE66" s="63"/>
      <c r="AF66" s="101"/>
      <c r="AG66" s="63"/>
      <c r="AH66" s="93"/>
      <c r="AI66" s="94"/>
      <c r="AJ66" s="95"/>
      <c r="AK66" s="63"/>
      <c r="AL66" s="173"/>
      <c r="AM66" s="63"/>
      <c r="AN66" s="63"/>
      <c r="AO66" s="63"/>
      <c r="AP66" s="63"/>
      <c r="AQ66" s="63"/>
      <c r="AR66" s="63"/>
      <c r="AS66" s="63"/>
      <c r="AT66" s="37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169"/>
    </row>
    <row r="67" spans="1:57" ht="24.95" customHeight="1" x14ac:dyDescent="0.2">
      <c r="A67" s="105" t="s">
        <v>172</v>
      </c>
      <c r="B67" s="171"/>
      <c r="C67" s="38"/>
      <c r="D67" s="63"/>
      <c r="E67" s="90"/>
      <c r="F67" s="89"/>
      <c r="G67" s="90"/>
      <c r="H67" s="89"/>
      <c r="I67" s="89"/>
      <c r="J67" s="89"/>
      <c r="K67" s="63"/>
      <c r="L67" s="176"/>
      <c r="M67" s="136"/>
      <c r="N67" s="136"/>
      <c r="O67" s="136"/>
      <c r="P67" s="136"/>
      <c r="Q67" s="136"/>
      <c r="R67" s="136"/>
      <c r="S67" s="137"/>
      <c r="T67" s="63"/>
      <c r="U67" s="135"/>
      <c r="V67" s="136"/>
      <c r="W67" s="136"/>
      <c r="X67" s="136"/>
      <c r="Y67" s="137"/>
      <c r="Z67" s="63"/>
      <c r="AA67" s="63"/>
      <c r="AB67" s="93"/>
      <c r="AC67" s="94"/>
      <c r="AD67" s="95"/>
      <c r="AE67" s="63"/>
      <c r="AF67" s="101"/>
      <c r="AG67" s="63"/>
      <c r="AH67" s="93"/>
      <c r="AI67" s="94"/>
      <c r="AJ67" s="95"/>
      <c r="AK67" s="63"/>
      <c r="AL67" s="173"/>
      <c r="AM67" s="63"/>
      <c r="AN67" s="63"/>
      <c r="AO67" s="63"/>
      <c r="AP67" s="63"/>
      <c r="AQ67" s="63"/>
      <c r="AR67" s="63"/>
      <c r="AS67" s="63"/>
      <c r="AT67" s="37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169"/>
    </row>
    <row r="68" spans="1:57" ht="24.95" customHeight="1" x14ac:dyDescent="0.2">
      <c r="A68" s="105" t="s">
        <v>173</v>
      </c>
      <c r="B68" s="171"/>
      <c r="C68" s="38"/>
      <c r="D68" s="63"/>
      <c r="E68" s="90"/>
      <c r="F68" s="89"/>
      <c r="G68" s="90"/>
      <c r="H68" s="89"/>
      <c r="I68" s="89"/>
      <c r="J68" s="89"/>
      <c r="K68" s="63"/>
      <c r="L68" s="176"/>
      <c r="M68" s="101"/>
      <c r="N68" s="63"/>
      <c r="O68" s="63"/>
      <c r="P68" s="103"/>
      <c r="Q68" s="94"/>
      <c r="R68" s="95"/>
      <c r="S68" s="101"/>
      <c r="T68" s="63"/>
      <c r="U68" s="101"/>
      <c r="V68" s="103"/>
      <c r="W68" s="94"/>
      <c r="X68" s="95"/>
      <c r="Y68" s="101"/>
      <c r="Z68" s="63"/>
      <c r="AA68" s="63"/>
      <c r="AB68" s="93"/>
      <c r="AC68" s="94"/>
      <c r="AD68" s="95"/>
      <c r="AE68" s="63"/>
      <c r="AF68" s="101"/>
      <c r="AG68" s="63"/>
      <c r="AH68" s="93"/>
      <c r="AI68" s="94"/>
      <c r="AJ68" s="95"/>
      <c r="AK68" s="63"/>
      <c r="AL68" s="173"/>
      <c r="AM68" s="63"/>
      <c r="AN68" s="63"/>
      <c r="AO68" s="63"/>
      <c r="AP68" s="63"/>
      <c r="AQ68" s="63"/>
      <c r="AR68" s="63"/>
      <c r="AS68" s="63"/>
      <c r="AT68" s="37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169"/>
    </row>
    <row r="69" spans="1:57" ht="24.95" customHeight="1" thickBot="1" x14ac:dyDescent="0.25">
      <c r="A69" s="105" t="s">
        <v>97</v>
      </c>
      <c r="B69" s="171"/>
      <c r="C69" s="40"/>
      <c r="D69" s="41"/>
      <c r="E69" s="42"/>
      <c r="F69" s="51"/>
      <c r="G69" s="42"/>
      <c r="H69" s="51"/>
      <c r="I69" s="51"/>
      <c r="J69" s="51"/>
      <c r="K69" s="41"/>
      <c r="L69" s="177"/>
      <c r="M69" s="153"/>
      <c r="N69" s="153"/>
      <c r="O69" s="153"/>
      <c r="P69" s="153"/>
      <c r="Q69" s="153"/>
      <c r="R69" s="153"/>
      <c r="S69" s="153"/>
      <c r="T69" s="41"/>
      <c r="U69" s="153"/>
      <c r="V69" s="153"/>
      <c r="W69" s="153"/>
      <c r="X69" s="153"/>
      <c r="Y69" s="153"/>
      <c r="Z69" s="41"/>
      <c r="AA69" s="41"/>
      <c r="AB69" s="41"/>
      <c r="AC69" s="41"/>
      <c r="AD69" s="41"/>
      <c r="AE69" s="41"/>
      <c r="AF69" s="77"/>
      <c r="AG69" s="41"/>
      <c r="AH69" s="41"/>
      <c r="AI69" s="41"/>
      <c r="AJ69" s="41"/>
      <c r="AK69" s="41"/>
      <c r="AL69" s="174"/>
      <c r="AM69" s="41"/>
      <c r="AN69" s="41"/>
      <c r="AO69" s="41"/>
      <c r="AP69" s="41"/>
      <c r="AQ69" s="41"/>
      <c r="AR69" s="41"/>
      <c r="AS69" s="41"/>
      <c r="AT69" s="4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169"/>
    </row>
    <row r="70" spans="1:57" ht="24.95" customHeight="1" x14ac:dyDescent="0.2">
      <c r="A70" s="105" t="s">
        <v>61</v>
      </c>
      <c r="B70" s="171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  <c r="AK70" s="162"/>
      <c r="AL70" s="162"/>
      <c r="AM70" s="162"/>
      <c r="AN70" s="162"/>
      <c r="AO70" s="162"/>
      <c r="AP70" s="162"/>
      <c r="AQ70" s="162"/>
      <c r="AR70" s="162"/>
      <c r="AS70" s="162"/>
      <c r="AT70" s="162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169"/>
    </row>
    <row r="71" spans="1:57" ht="24.95" hidden="1" customHeight="1" x14ac:dyDescent="0.65">
      <c r="A71" s="105" t="s">
        <v>174</v>
      </c>
      <c r="B71" s="78"/>
      <c r="F71" s="79"/>
      <c r="H71" s="79"/>
      <c r="I71" s="79"/>
      <c r="J71" s="79"/>
      <c r="L71" s="80"/>
      <c r="AF71" s="81"/>
      <c r="BE71" s="82"/>
    </row>
    <row r="72" spans="1:57" ht="24.95" hidden="1" customHeight="1" x14ac:dyDescent="0.65">
      <c r="A72" s="105" t="s">
        <v>175</v>
      </c>
      <c r="B72" s="78"/>
      <c r="F72" s="79"/>
      <c r="H72" s="79"/>
      <c r="I72" s="79"/>
      <c r="J72" s="79"/>
      <c r="L72" s="80"/>
      <c r="AF72" s="81"/>
      <c r="BE72" s="82"/>
    </row>
    <row r="73" spans="1:57" ht="24.95" hidden="1" customHeight="1" x14ac:dyDescent="0.65">
      <c r="A73" s="52" t="s">
        <v>96</v>
      </c>
      <c r="B73" s="78"/>
      <c r="F73" s="79"/>
      <c r="H73" s="79"/>
      <c r="I73" s="79"/>
      <c r="J73" s="79"/>
      <c r="L73" s="80"/>
      <c r="AF73" s="81"/>
      <c r="BE73" s="82"/>
    </row>
    <row r="74" spans="1:57" ht="24.95" hidden="1" customHeight="1" x14ac:dyDescent="0.65">
      <c r="A74" s="52" t="s">
        <v>176</v>
      </c>
      <c r="B74" s="78"/>
      <c r="F74" s="79"/>
      <c r="H74" s="79"/>
      <c r="I74" s="79"/>
      <c r="J74" s="79"/>
      <c r="L74" s="80"/>
      <c r="AF74" s="81"/>
      <c r="BE74" s="82"/>
    </row>
    <row r="75" spans="1:57" ht="24.95" hidden="1" customHeight="1" x14ac:dyDescent="0.65">
      <c r="A75" s="52" t="s">
        <v>177</v>
      </c>
      <c r="B75" s="78"/>
      <c r="F75" s="79"/>
      <c r="H75" s="79"/>
      <c r="I75" s="79"/>
      <c r="J75" s="79"/>
      <c r="L75" s="80"/>
      <c r="AF75" s="81"/>
      <c r="BE75" s="82"/>
    </row>
    <row r="76" spans="1:57" ht="24.95" hidden="1" customHeight="1" x14ac:dyDescent="0.65">
      <c r="A76" s="52" t="s">
        <v>178</v>
      </c>
      <c r="B76" s="78"/>
      <c r="F76" s="79"/>
      <c r="H76" s="79"/>
      <c r="I76" s="79"/>
      <c r="J76" s="79"/>
      <c r="L76" s="80"/>
      <c r="AF76" s="81"/>
      <c r="BE76" s="82"/>
    </row>
    <row r="77" spans="1:57" ht="24.95" hidden="1" customHeight="1" x14ac:dyDescent="0.65">
      <c r="A77" s="52" t="s">
        <v>179</v>
      </c>
      <c r="B77" s="78"/>
      <c r="F77" s="79"/>
      <c r="H77" s="79"/>
      <c r="I77" s="79"/>
      <c r="J77" s="79"/>
      <c r="L77" s="80"/>
      <c r="AF77" s="81"/>
      <c r="BE77" s="82"/>
    </row>
    <row r="78" spans="1:57" ht="24.95" hidden="1" customHeight="1" x14ac:dyDescent="0.65">
      <c r="A78" s="52" t="s">
        <v>180</v>
      </c>
      <c r="B78" s="78"/>
      <c r="F78" s="79"/>
      <c r="H78" s="79"/>
      <c r="I78" s="79"/>
      <c r="J78" s="79"/>
      <c r="L78" s="80"/>
      <c r="AF78" s="81"/>
      <c r="BE78" s="82"/>
    </row>
    <row r="79" spans="1:57" ht="24.95" hidden="1" customHeight="1" x14ac:dyDescent="0.65">
      <c r="A79" s="52" t="s">
        <v>99</v>
      </c>
      <c r="B79" s="78"/>
      <c r="F79" s="79"/>
      <c r="H79" s="79"/>
      <c r="I79" s="79"/>
      <c r="J79" s="79"/>
      <c r="L79" s="80"/>
      <c r="AF79" s="81"/>
      <c r="BE79" s="82"/>
    </row>
    <row r="80" spans="1:57" ht="24.95" hidden="1" customHeight="1" thickBot="1" x14ac:dyDescent="0.7">
      <c r="A80" s="52" t="s">
        <v>87</v>
      </c>
      <c r="B80" s="78"/>
      <c r="F80" s="79"/>
      <c r="H80" s="79"/>
      <c r="I80" s="79"/>
      <c r="J80" s="79"/>
      <c r="L80" s="80"/>
      <c r="AF80" s="81"/>
      <c r="BE80" s="82"/>
    </row>
    <row r="81" spans="1:57" ht="24.95" hidden="1" customHeight="1" x14ac:dyDescent="0.65">
      <c r="A81" s="52" t="s">
        <v>81</v>
      </c>
      <c r="B81" s="78"/>
      <c r="F81" s="79"/>
      <c r="H81" s="79"/>
      <c r="I81" s="79"/>
      <c r="J81" s="79"/>
      <c r="L81" s="80"/>
      <c r="AF81" s="81"/>
      <c r="BE81" s="82"/>
    </row>
    <row r="82" spans="1:57" ht="24.95" hidden="1" customHeight="1" x14ac:dyDescent="0.65">
      <c r="A82" s="52" t="s">
        <v>181</v>
      </c>
      <c r="B82" s="78"/>
      <c r="F82" s="79"/>
      <c r="H82" s="79"/>
      <c r="I82" s="79"/>
      <c r="J82" s="79"/>
      <c r="L82" s="80"/>
      <c r="AF82" s="81"/>
      <c r="BE82" s="82"/>
    </row>
    <row r="83" spans="1:57" ht="24.95" hidden="1" customHeight="1" x14ac:dyDescent="0.65">
      <c r="A83" s="52" t="s">
        <v>182</v>
      </c>
      <c r="B83" s="78"/>
      <c r="F83" s="79"/>
      <c r="H83" s="79"/>
      <c r="I83" s="79"/>
      <c r="J83" s="79"/>
      <c r="L83" s="80"/>
      <c r="AF83" s="81"/>
      <c r="BE83" s="82"/>
    </row>
    <row r="84" spans="1:57" ht="24.95" hidden="1" customHeight="1" x14ac:dyDescent="0.65">
      <c r="A84" s="52" t="s">
        <v>73</v>
      </c>
      <c r="B84" s="78"/>
      <c r="F84" s="79"/>
      <c r="H84" s="79"/>
      <c r="I84" s="79"/>
      <c r="J84" s="79"/>
      <c r="L84" s="80"/>
      <c r="AF84" s="81"/>
      <c r="BE84" s="82"/>
    </row>
    <row r="85" spans="1:57" ht="24.95" hidden="1" customHeight="1" x14ac:dyDescent="0.65">
      <c r="A85" s="52" t="s">
        <v>77</v>
      </c>
      <c r="B85" s="78"/>
      <c r="F85" s="79"/>
      <c r="H85" s="79"/>
      <c r="I85" s="79"/>
      <c r="J85" s="79"/>
      <c r="L85" s="80"/>
      <c r="AF85" s="81"/>
      <c r="BE85" s="82"/>
    </row>
    <row r="86" spans="1:57" ht="24.95" hidden="1" customHeight="1" x14ac:dyDescent="0.65">
      <c r="A86" s="52" t="s">
        <v>183</v>
      </c>
      <c r="B86" s="78"/>
      <c r="F86" s="79"/>
      <c r="H86" s="79"/>
      <c r="I86" s="79"/>
      <c r="J86" s="79"/>
      <c r="L86" s="80"/>
      <c r="AF86" s="81"/>
      <c r="BE86" s="82"/>
    </row>
    <row r="87" spans="1:57" ht="24.95" hidden="1" customHeight="1" x14ac:dyDescent="0.65">
      <c r="A87" s="52" t="s">
        <v>184</v>
      </c>
      <c r="B87" s="78"/>
      <c r="F87" s="79"/>
      <c r="H87" s="79"/>
      <c r="I87" s="79"/>
      <c r="J87" s="79"/>
      <c r="L87" s="80"/>
      <c r="AF87" s="81"/>
      <c r="BE87" s="82"/>
    </row>
    <row r="88" spans="1:57" ht="24.95" hidden="1" customHeight="1" x14ac:dyDescent="0.65">
      <c r="A88" s="52" t="s">
        <v>185</v>
      </c>
      <c r="B88" s="78"/>
      <c r="F88" s="79"/>
      <c r="H88" s="79"/>
      <c r="I88" s="79"/>
      <c r="J88" s="79"/>
      <c r="L88" s="80"/>
      <c r="AF88" s="81"/>
      <c r="BE88" s="82"/>
    </row>
    <row r="89" spans="1:57" ht="24.95" hidden="1" customHeight="1" x14ac:dyDescent="0.65">
      <c r="A89" s="52" t="s">
        <v>90</v>
      </c>
      <c r="B89" s="78"/>
      <c r="F89" s="79"/>
      <c r="H89" s="79"/>
      <c r="I89" s="79"/>
      <c r="J89" s="79"/>
      <c r="L89" s="80"/>
      <c r="AF89" s="81"/>
      <c r="BE89" s="82"/>
    </row>
    <row r="90" spans="1:57" ht="24.95" hidden="1" customHeight="1" x14ac:dyDescent="0.65">
      <c r="A90" s="52" t="s">
        <v>91</v>
      </c>
      <c r="B90" s="78"/>
      <c r="F90" s="79"/>
      <c r="H90" s="79"/>
      <c r="I90" s="79"/>
      <c r="J90" s="79"/>
      <c r="L90" s="80"/>
      <c r="AF90" s="81"/>
      <c r="BE90" s="82"/>
    </row>
    <row r="91" spans="1:57" ht="24.95" hidden="1" customHeight="1" x14ac:dyDescent="0.65">
      <c r="A91" s="52" t="s">
        <v>79</v>
      </c>
      <c r="B91" s="78"/>
      <c r="F91" s="79"/>
      <c r="H91" s="79"/>
      <c r="I91" s="79"/>
      <c r="J91" s="79"/>
      <c r="L91" s="80"/>
      <c r="AF91" s="81"/>
      <c r="BE91" s="82"/>
    </row>
    <row r="92" spans="1:57" ht="24.95" hidden="1" customHeight="1" x14ac:dyDescent="0.65">
      <c r="A92" s="52" t="s">
        <v>78</v>
      </c>
      <c r="B92" s="78"/>
      <c r="F92" s="79"/>
      <c r="H92" s="79"/>
      <c r="I92" s="79"/>
      <c r="J92" s="79"/>
      <c r="L92" s="80"/>
      <c r="AF92" s="81"/>
      <c r="BE92" s="82"/>
    </row>
    <row r="93" spans="1:57" ht="24.95" hidden="1" customHeight="1" x14ac:dyDescent="0.65">
      <c r="A93" s="52" t="s">
        <v>84</v>
      </c>
      <c r="B93" s="78"/>
      <c r="F93" s="79"/>
      <c r="H93" s="79"/>
      <c r="I93" s="79"/>
      <c r="J93" s="79"/>
      <c r="L93" s="80"/>
      <c r="AF93" s="81"/>
      <c r="BE93" s="82"/>
    </row>
    <row r="94" spans="1:57" ht="24.95" hidden="1" customHeight="1" x14ac:dyDescent="0.65">
      <c r="A94" s="52" t="s">
        <v>94</v>
      </c>
      <c r="B94" s="78"/>
      <c r="F94" s="79"/>
      <c r="H94" s="79"/>
      <c r="I94" s="79"/>
      <c r="J94" s="79"/>
      <c r="L94" s="80"/>
      <c r="AF94" s="81"/>
      <c r="BE94" s="82"/>
    </row>
    <row r="95" spans="1:57" ht="24.95" hidden="1" customHeight="1" x14ac:dyDescent="0.65">
      <c r="A95" s="52" t="s">
        <v>64</v>
      </c>
      <c r="B95" s="78"/>
      <c r="F95" s="79"/>
      <c r="H95" s="79"/>
      <c r="I95" s="79"/>
      <c r="J95" s="79"/>
      <c r="L95" s="80"/>
      <c r="AF95" s="81"/>
      <c r="BE95" s="82"/>
    </row>
    <row r="96" spans="1:57" ht="24.95" hidden="1" customHeight="1" x14ac:dyDescent="0.65">
      <c r="A96" s="52" t="s">
        <v>71</v>
      </c>
      <c r="B96" s="78"/>
      <c r="F96" s="79"/>
      <c r="H96" s="79"/>
      <c r="I96" s="79"/>
      <c r="J96" s="79"/>
      <c r="L96" s="80"/>
      <c r="AF96" s="81"/>
      <c r="BE96" s="82"/>
    </row>
    <row r="97" spans="1:57" ht="24.95" hidden="1" customHeight="1" x14ac:dyDescent="0.65">
      <c r="A97" s="52" t="s">
        <v>67</v>
      </c>
      <c r="B97" s="78"/>
      <c r="F97" s="79"/>
      <c r="H97" s="79"/>
      <c r="I97" s="79"/>
      <c r="J97" s="79"/>
      <c r="L97" s="80"/>
      <c r="AF97" s="81"/>
      <c r="BE97" s="82"/>
    </row>
    <row r="98" spans="1:57" ht="24.95" hidden="1" customHeight="1" x14ac:dyDescent="0.65">
      <c r="A98" s="52" t="s">
        <v>66</v>
      </c>
      <c r="B98" s="78"/>
      <c r="F98" s="79"/>
      <c r="H98" s="79"/>
      <c r="I98" s="79"/>
      <c r="J98" s="79"/>
      <c r="L98" s="80"/>
      <c r="AF98" s="81"/>
      <c r="BE98" s="82"/>
    </row>
    <row r="99" spans="1:57" ht="24.95" hidden="1" customHeight="1" x14ac:dyDescent="0.65">
      <c r="A99" s="52" t="s">
        <v>68</v>
      </c>
      <c r="B99" s="78"/>
      <c r="F99" s="79"/>
      <c r="H99" s="79"/>
      <c r="I99" s="79"/>
      <c r="J99" s="79"/>
      <c r="L99" s="80"/>
      <c r="AF99" s="81"/>
      <c r="BE99" s="82"/>
    </row>
    <row r="100" spans="1:57" ht="24.95" hidden="1" customHeight="1" x14ac:dyDescent="0.65">
      <c r="A100" s="52" t="s">
        <v>70</v>
      </c>
      <c r="B100" s="78"/>
      <c r="F100" s="79"/>
      <c r="H100" s="79"/>
      <c r="I100" s="79"/>
      <c r="J100" s="79"/>
      <c r="L100" s="80"/>
      <c r="AF100" s="81"/>
      <c r="BE100" s="82"/>
    </row>
    <row r="101" spans="1:57" ht="24.95" hidden="1" customHeight="1" x14ac:dyDescent="0.65">
      <c r="A101" s="52" t="s">
        <v>72</v>
      </c>
      <c r="B101" s="78"/>
      <c r="F101" s="79"/>
      <c r="H101" s="79"/>
      <c r="I101" s="79"/>
      <c r="J101" s="79"/>
      <c r="L101" s="80"/>
      <c r="AF101" s="81"/>
      <c r="BE101" s="82"/>
    </row>
    <row r="102" spans="1:57" ht="24.95" hidden="1" customHeight="1" x14ac:dyDescent="0.65">
      <c r="A102" s="52" t="s">
        <v>69</v>
      </c>
      <c r="B102" s="78"/>
      <c r="F102" s="79"/>
      <c r="H102" s="79"/>
      <c r="I102" s="79"/>
      <c r="J102" s="79"/>
      <c r="L102" s="80"/>
      <c r="AF102" s="81"/>
      <c r="BE102" s="82"/>
    </row>
    <row r="103" spans="1:57" ht="24.95" hidden="1" customHeight="1" x14ac:dyDescent="0.65">
      <c r="A103" s="52" t="s">
        <v>65</v>
      </c>
      <c r="B103" s="78"/>
      <c r="F103" s="79"/>
      <c r="H103" s="79"/>
      <c r="I103" s="79"/>
      <c r="J103" s="79"/>
      <c r="L103" s="80"/>
      <c r="AF103" s="81"/>
      <c r="BE103" s="82"/>
    </row>
    <row r="104" spans="1:57" ht="24.95" hidden="1" customHeight="1" x14ac:dyDescent="0.65">
      <c r="A104" s="52" t="s">
        <v>186</v>
      </c>
      <c r="B104" s="78"/>
      <c r="F104" s="79"/>
      <c r="H104" s="79"/>
      <c r="I104" s="79"/>
      <c r="J104" s="79"/>
      <c r="L104" s="80"/>
      <c r="AF104" s="81"/>
      <c r="BE104" s="82"/>
    </row>
    <row r="105" spans="1:57" ht="24.95" hidden="1" customHeight="1" x14ac:dyDescent="0.65">
      <c r="A105" s="76"/>
      <c r="B105" s="78"/>
      <c r="F105" s="79"/>
      <c r="H105" s="79"/>
      <c r="I105" s="79"/>
      <c r="J105" s="79"/>
      <c r="L105" s="80"/>
      <c r="AF105" s="81"/>
      <c r="BE105" s="82"/>
    </row>
    <row r="106" spans="1:57" ht="24.95" hidden="1" customHeight="1" x14ac:dyDescent="0.65">
      <c r="A106" s="76"/>
      <c r="B106" s="78"/>
      <c r="F106" s="79"/>
      <c r="H106" s="79"/>
      <c r="I106" s="79"/>
      <c r="J106" s="79"/>
      <c r="L106" s="80"/>
      <c r="AF106" s="81"/>
      <c r="BE106" s="82"/>
    </row>
    <row r="107" spans="1:57" ht="24.95" hidden="1" customHeight="1" x14ac:dyDescent="0.65">
      <c r="A107" s="76"/>
      <c r="B107" s="78"/>
      <c r="F107" s="79"/>
      <c r="H107" s="79"/>
      <c r="I107" s="79"/>
      <c r="J107" s="79"/>
      <c r="L107" s="80"/>
      <c r="AF107" s="81"/>
      <c r="BE107" s="82"/>
    </row>
    <row r="108" spans="1:57" ht="24.95" hidden="1" customHeight="1" x14ac:dyDescent="0.65">
      <c r="A108" s="76"/>
      <c r="B108" s="78"/>
      <c r="F108" s="79"/>
      <c r="H108" s="79"/>
      <c r="I108" s="79"/>
      <c r="J108" s="79"/>
      <c r="L108" s="80"/>
      <c r="AF108" s="81"/>
      <c r="BE108" s="82"/>
    </row>
    <row r="109" spans="1:57" ht="24.95" hidden="1" customHeight="1" x14ac:dyDescent="0.65">
      <c r="A109" s="76"/>
      <c r="B109" s="78"/>
      <c r="F109" s="79"/>
      <c r="H109" s="79"/>
      <c r="I109" s="79"/>
      <c r="J109" s="79"/>
      <c r="L109" s="80"/>
      <c r="AF109" s="81"/>
      <c r="BE109" s="82"/>
    </row>
    <row r="110" spans="1:57" ht="24.95" hidden="1" customHeight="1" x14ac:dyDescent="0.65">
      <c r="A110" s="76"/>
      <c r="B110" s="78"/>
      <c r="F110" s="79"/>
      <c r="H110" s="79"/>
      <c r="I110" s="79"/>
      <c r="J110" s="79"/>
      <c r="L110" s="80"/>
      <c r="AF110" s="81"/>
      <c r="BE110" s="82"/>
    </row>
    <row r="111" spans="1:57" ht="24.95" hidden="1" customHeight="1" x14ac:dyDescent="0.65">
      <c r="A111" s="76"/>
      <c r="B111" s="78"/>
      <c r="F111" s="79"/>
      <c r="H111" s="79"/>
      <c r="I111" s="79"/>
      <c r="J111" s="79"/>
      <c r="L111" s="80"/>
      <c r="AF111" s="81"/>
      <c r="BE111" s="82"/>
    </row>
    <row r="112" spans="1:57" ht="24.95" hidden="1" customHeight="1" x14ac:dyDescent="0.65">
      <c r="A112" s="76"/>
      <c r="B112" s="78"/>
      <c r="F112" s="79"/>
      <c r="H112" s="79"/>
      <c r="I112" s="79"/>
      <c r="J112" s="79"/>
      <c r="L112" s="80"/>
      <c r="AF112" s="81"/>
      <c r="BE112" s="82"/>
    </row>
    <row r="113" spans="1:57" ht="24.95" hidden="1" customHeight="1" x14ac:dyDescent="0.65">
      <c r="A113" s="76"/>
      <c r="B113" s="78"/>
      <c r="F113" s="79"/>
      <c r="H113" s="79"/>
      <c r="I113" s="79"/>
      <c r="J113" s="79"/>
      <c r="L113" s="80"/>
      <c r="AF113" s="81"/>
      <c r="BE113" s="82"/>
    </row>
    <row r="114" spans="1:57" ht="24.95" hidden="1" customHeight="1" x14ac:dyDescent="0.65">
      <c r="A114" s="76"/>
      <c r="B114" s="78"/>
      <c r="F114" s="79"/>
      <c r="H114" s="79"/>
      <c r="I114" s="79"/>
      <c r="J114" s="79"/>
      <c r="L114" s="80"/>
      <c r="AF114" s="81"/>
      <c r="BE114" s="82"/>
    </row>
    <row r="115" spans="1:57" ht="24.95" hidden="1" customHeight="1" x14ac:dyDescent="0.65">
      <c r="A115" s="76"/>
      <c r="B115" s="78"/>
      <c r="F115" s="79"/>
      <c r="H115" s="79"/>
      <c r="I115" s="79"/>
      <c r="J115" s="79"/>
      <c r="L115" s="80"/>
      <c r="AF115" s="81"/>
      <c r="BE115" s="82"/>
    </row>
    <row r="116" spans="1:57" ht="24.95" hidden="1" customHeight="1" x14ac:dyDescent="0.65">
      <c r="A116" s="76"/>
      <c r="B116" s="78"/>
      <c r="F116" s="79"/>
      <c r="H116" s="79"/>
      <c r="I116" s="79"/>
      <c r="J116" s="79"/>
      <c r="L116" s="80"/>
      <c r="AF116" s="81"/>
      <c r="BE116" s="82"/>
    </row>
    <row r="117" spans="1:57" ht="24.95" hidden="1" customHeight="1" x14ac:dyDescent="0.65">
      <c r="A117" s="76"/>
      <c r="B117" s="78"/>
      <c r="F117" s="79"/>
      <c r="H117" s="79"/>
      <c r="I117" s="79"/>
      <c r="J117" s="79"/>
      <c r="L117" s="80"/>
      <c r="AF117" s="81"/>
      <c r="BE117" s="82"/>
    </row>
    <row r="118" spans="1:57" ht="24.95" hidden="1" customHeight="1" x14ac:dyDescent="0.65">
      <c r="A118" s="76"/>
      <c r="B118" s="78"/>
      <c r="F118" s="79"/>
      <c r="H118" s="79"/>
      <c r="I118" s="79"/>
      <c r="J118" s="79"/>
      <c r="L118" s="80"/>
      <c r="AF118" s="81"/>
      <c r="BE118" s="82"/>
    </row>
    <row r="119" spans="1:57" ht="24.95" hidden="1" customHeight="1" x14ac:dyDescent="0.65">
      <c r="A119" s="76"/>
      <c r="B119" s="78"/>
      <c r="F119" s="79"/>
      <c r="H119" s="79"/>
      <c r="I119" s="79"/>
      <c r="J119" s="79"/>
      <c r="L119" s="80"/>
      <c r="AF119" s="81"/>
      <c r="BE119" s="82"/>
    </row>
    <row r="120" spans="1:57" ht="24.95" hidden="1" customHeight="1" x14ac:dyDescent="0.65">
      <c r="A120" s="76"/>
      <c r="B120" s="78"/>
      <c r="F120" s="79"/>
      <c r="H120" s="79"/>
      <c r="I120" s="79"/>
      <c r="J120" s="79"/>
      <c r="L120" s="80"/>
      <c r="AF120" s="81"/>
      <c r="BE120" s="82"/>
    </row>
    <row r="121" spans="1:57" ht="24.95" hidden="1" customHeight="1" x14ac:dyDescent="0.65">
      <c r="A121" s="76"/>
      <c r="B121" s="78"/>
      <c r="F121" s="79"/>
      <c r="H121" s="79"/>
      <c r="I121" s="79"/>
      <c r="J121" s="79"/>
      <c r="L121" s="80"/>
      <c r="AF121" s="81"/>
      <c r="BE121" s="82"/>
    </row>
    <row r="122" spans="1:57" ht="24.95" hidden="1" customHeight="1" x14ac:dyDescent="0.65">
      <c r="A122" s="76"/>
      <c r="B122" s="78"/>
      <c r="F122" s="79"/>
      <c r="H122" s="79"/>
      <c r="I122" s="79"/>
      <c r="J122" s="79"/>
      <c r="L122" s="80"/>
      <c r="AF122" s="81"/>
      <c r="BE122" s="82"/>
    </row>
    <row r="123" spans="1:57" ht="24.95" hidden="1" customHeight="1" x14ac:dyDescent="0.65">
      <c r="A123" s="76"/>
      <c r="B123" s="78"/>
      <c r="F123" s="79"/>
      <c r="H123" s="79"/>
      <c r="I123" s="79"/>
      <c r="J123" s="79"/>
      <c r="L123" s="80"/>
      <c r="AF123" s="81"/>
      <c r="BE123" s="82"/>
    </row>
    <row r="124" spans="1:57" ht="30" hidden="1" customHeight="1" x14ac:dyDescent="0.2">
      <c r="B124" s="78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2"/>
    </row>
    <row r="125" spans="1:57" ht="24.95" hidden="1" customHeight="1" x14ac:dyDescent="0.2">
      <c r="B125" s="83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2"/>
    </row>
    <row r="126" spans="1:57" ht="24.95" hidden="1" customHeight="1" x14ac:dyDescent="0.2">
      <c r="B126" s="83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2"/>
    </row>
    <row r="127" spans="1:57" ht="24.95" hidden="1" customHeight="1" x14ac:dyDescent="0.2">
      <c r="B127" s="83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2"/>
    </row>
    <row r="128" spans="1:57" ht="24.95" hidden="1" customHeight="1" x14ac:dyDescent="0.2">
      <c r="B128" s="83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2"/>
    </row>
    <row r="129" spans="2:57" ht="24.95" hidden="1" customHeight="1" x14ac:dyDescent="0.2">
      <c r="B129" s="83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2"/>
    </row>
    <row r="130" spans="2:57" ht="24.95" hidden="1" customHeight="1" x14ac:dyDescent="0.2">
      <c r="B130" s="83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2"/>
    </row>
    <row r="131" spans="2:57" ht="24.95" hidden="1" customHeight="1" x14ac:dyDescent="0.2">
      <c r="B131" s="83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2"/>
    </row>
    <row r="132" spans="2:57" ht="24.95" hidden="1" customHeight="1" x14ac:dyDescent="0.2">
      <c r="B132" s="83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2"/>
    </row>
    <row r="133" spans="2:57" ht="24.95" hidden="1" customHeight="1" x14ac:dyDescent="0.2">
      <c r="B133" s="83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2"/>
    </row>
    <row r="134" spans="2:57" ht="24.95" hidden="1" customHeight="1" x14ac:dyDescent="0.2">
      <c r="B134" s="83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2"/>
    </row>
    <row r="135" spans="2:57" ht="24.95" hidden="1" customHeight="1" x14ac:dyDescent="0.2">
      <c r="B135" s="83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2"/>
    </row>
    <row r="136" spans="2:57" ht="24.95" hidden="1" customHeight="1" x14ac:dyDescent="0.2">
      <c r="B136" s="83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2"/>
    </row>
    <row r="137" spans="2:57" ht="24.95" hidden="1" customHeight="1" x14ac:dyDescent="0.2">
      <c r="B137" s="83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2"/>
    </row>
    <row r="138" spans="2:57" ht="24.95" hidden="1" customHeight="1" x14ac:dyDescent="0.2">
      <c r="B138" s="83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2"/>
    </row>
    <row r="139" spans="2:57" ht="24.95" hidden="1" customHeight="1" x14ac:dyDescent="0.2">
      <c r="B139" s="83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2"/>
    </row>
    <row r="140" spans="2:57" ht="24.95" hidden="1" customHeight="1" x14ac:dyDescent="0.2">
      <c r="B140" s="83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2"/>
    </row>
    <row r="141" spans="2:57" ht="24.95" hidden="1" customHeight="1" x14ac:dyDescent="0.2">
      <c r="B141" s="83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2"/>
    </row>
    <row r="142" spans="2:57" ht="24.95" hidden="1" customHeight="1" x14ac:dyDescent="0.2">
      <c r="B142" s="83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2"/>
    </row>
    <row r="143" spans="2:57" ht="24.95" hidden="1" customHeight="1" x14ac:dyDescent="0.2">
      <c r="B143" s="83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2"/>
    </row>
    <row r="144" spans="2:57" ht="24.95" hidden="1" customHeight="1" x14ac:dyDescent="0.2">
      <c r="B144" s="83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2"/>
    </row>
    <row r="145" spans="1:57" ht="24.95" hidden="1" customHeight="1" x14ac:dyDescent="0.2">
      <c r="B145" s="83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2"/>
    </row>
    <row r="146" spans="1:57" s="58" customFormat="1" ht="30" hidden="1" customHeight="1" thickBot="1" x14ac:dyDescent="0.25">
      <c r="B146" s="84"/>
      <c r="BE146" s="85"/>
    </row>
    <row r="147" spans="1:57" ht="14.25" hidden="1" customHeight="1" x14ac:dyDescent="0.2">
      <c r="A147" s="52" t="s">
        <v>98</v>
      </c>
    </row>
  </sheetData>
  <mergeCells count="96">
    <mergeCell ref="BE1:BE70"/>
    <mergeCell ref="B1:B70"/>
    <mergeCell ref="AL2:AL69"/>
    <mergeCell ref="L2:L69"/>
    <mergeCell ref="M67:S67"/>
    <mergeCell ref="U67:Y67"/>
    <mergeCell ref="AH55:AH58"/>
    <mergeCell ref="AG59:AK59"/>
    <mergeCell ref="AA63:AE63"/>
    <mergeCell ref="S53:S66"/>
    <mergeCell ref="M53:M66"/>
    <mergeCell ref="AG49:AK51"/>
    <mergeCell ref="AG52:AK52"/>
    <mergeCell ref="AI53:AJ53"/>
    <mergeCell ref="AM5:AT7"/>
    <mergeCell ref="U29:Y29"/>
    <mergeCell ref="C70:AT70"/>
    <mergeCell ref="C1:AT1"/>
    <mergeCell ref="AS29:AS34"/>
    <mergeCell ref="AO31:AO34"/>
    <mergeCell ref="AN35:AS35"/>
    <mergeCell ref="AN28:AS28"/>
    <mergeCell ref="AB55:AB58"/>
    <mergeCell ref="AN14:AS14"/>
    <mergeCell ref="AK15:AK20"/>
    <mergeCell ref="AG15:AG20"/>
    <mergeCell ref="AS15:AS20"/>
    <mergeCell ref="AN15:AN20"/>
    <mergeCell ref="V25:V28"/>
    <mergeCell ref="M15:M40"/>
    <mergeCell ref="U14:Y14"/>
    <mergeCell ref="W15:X15"/>
    <mergeCell ref="P55:P58"/>
    <mergeCell ref="P59:P62"/>
    <mergeCell ref="M49:S51"/>
    <mergeCell ref="M44:AK46"/>
    <mergeCell ref="V59:V62"/>
    <mergeCell ref="AA49:AE51"/>
    <mergeCell ref="AC53:AD53"/>
    <mergeCell ref="M52:S52"/>
    <mergeCell ref="AB59:AB62"/>
    <mergeCell ref="AA52:AE52"/>
    <mergeCell ref="U69:Y69"/>
    <mergeCell ref="U53:U66"/>
    <mergeCell ref="P37:P40"/>
    <mergeCell ref="S15:S40"/>
    <mergeCell ref="M41:S41"/>
    <mergeCell ref="P33:P36"/>
    <mergeCell ref="V17:V20"/>
    <mergeCell ref="V21:V24"/>
    <mergeCell ref="Y53:Y66"/>
    <mergeCell ref="P63:P66"/>
    <mergeCell ref="V63:V66"/>
    <mergeCell ref="M69:S69"/>
    <mergeCell ref="U49:Y51"/>
    <mergeCell ref="W53:X53"/>
    <mergeCell ref="V55:V58"/>
    <mergeCell ref="Q15:R15"/>
    <mergeCell ref="AN11:AS13"/>
    <mergeCell ref="AO17:AO20"/>
    <mergeCell ref="AN21:AS21"/>
    <mergeCell ref="AP15:AR15"/>
    <mergeCell ref="AC15:AD15"/>
    <mergeCell ref="AH17:AH20"/>
    <mergeCell ref="AE15:AE22"/>
    <mergeCell ref="AI15:AJ15"/>
    <mergeCell ref="AN25:AS27"/>
    <mergeCell ref="U52:Y52"/>
    <mergeCell ref="P25:P28"/>
    <mergeCell ref="AA23:AE23"/>
    <mergeCell ref="AG21:AK21"/>
    <mergeCell ref="AB20:AB22"/>
    <mergeCell ref="P17:P20"/>
    <mergeCell ref="P21:P24"/>
    <mergeCell ref="U15:U28"/>
    <mergeCell ref="Y15:Y28"/>
    <mergeCell ref="AP29:AR29"/>
    <mergeCell ref="P29:P32"/>
    <mergeCell ref="AN29:AN34"/>
    <mergeCell ref="AB17:AB19"/>
    <mergeCell ref="AA15:AA22"/>
    <mergeCell ref="D9:E9"/>
    <mergeCell ref="H9:J9"/>
    <mergeCell ref="M5:AK7"/>
    <mergeCell ref="C2:K6"/>
    <mergeCell ref="H13:J14"/>
    <mergeCell ref="D13:E14"/>
    <mergeCell ref="U11:Y13"/>
    <mergeCell ref="I7:J7"/>
    <mergeCell ref="C8:K8"/>
    <mergeCell ref="AG11:AK13"/>
    <mergeCell ref="AA11:AE13"/>
    <mergeCell ref="AG14:AK14"/>
    <mergeCell ref="AA14:AE14"/>
    <mergeCell ref="M14:S14"/>
    <mergeCell ref="M11:S13"/>
  </mergeCells>
  <phoneticPr fontId="2" type="noConversion"/>
  <conditionalFormatting sqref="Q55">
    <cfRule type="expression" dxfId="65" priority="44">
      <formula>ISBLANK($R$19)</formula>
    </cfRule>
  </conditionalFormatting>
  <conditionalFormatting sqref="Q56">
    <cfRule type="expression" dxfId="64" priority="43">
      <formula>ISBLANK($R$31)</formula>
    </cfRule>
  </conditionalFormatting>
  <conditionalFormatting sqref="Q57">
    <cfRule type="expression" dxfId="63" priority="42">
      <formula>ISBLANK($R$24)</formula>
    </cfRule>
  </conditionalFormatting>
  <conditionalFormatting sqref="Q58">
    <cfRule type="expression" dxfId="62" priority="41">
      <formula>ISBLANK($R$36)</formula>
    </cfRule>
  </conditionalFormatting>
  <conditionalFormatting sqref="Q59">
    <cfRule type="expression" dxfId="61" priority="40">
      <formula>ISBLANK($R$23)</formula>
    </cfRule>
  </conditionalFormatting>
  <conditionalFormatting sqref="Q60">
    <cfRule type="expression" dxfId="60" priority="39">
      <formula>ISBLANK($R$35)</formula>
    </cfRule>
  </conditionalFormatting>
  <conditionalFormatting sqref="Q61">
    <cfRule type="expression" dxfId="59" priority="38">
      <formula>ISBLANK($R$28)</formula>
    </cfRule>
  </conditionalFormatting>
  <conditionalFormatting sqref="Q62">
    <cfRule type="expression" dxfId="58" priority="37">
      <formula>ISBLANK($R$40)</formula>
    </cfRule>
  </conditionalFormatting>
  <conditionalFormatting sqref="Q63">
    <cfRule type="expression" dxfId="57" priority="36">
      <formula>ISBLANK($R$27)</formula>
    </cfRule>
  </conditionalFormatting>
  <conditionalFormatting sqref="Q64">
    <cfRule type="expression" dxfId="56" priority="35">
      <formula>ISBLANK($R$39)</formula>
    </cfRule>
  </conditionalFormatting>
  <conditionalFormatting sqref="Q65">
    <cfRule type="expression" dxfId="55" priority="34">
      <formula>ISBLANK($R$20)</formula>
    </cfRule>
  </conditionalFormatting>
  <conditionalFormatting sqref="Q66">
    <cfRule type="expression" dxfId="54" priority="33">
      <formula>ISBLANK($R$32)</formula>
    </cfRule>
  </conditionalFormatting>
  <conditionalFormatting sqref="W17">
    <cfRule type="expression" dxfId="53" priority="66">
      <formula>ISBLANK($R$17)</formula>
    </cfRule>
  </conditionalFormatting>
  <conditionalFormatting sqref="W18">
    <cfRule type="expression" dxfId="52" priority="65">
      <formula>ISBLANK($R$29)</formula>
    </cfRule>
  </conditionalFormatting>
  <conditionalFormatting sqref="W19">
    <cfRule type="expression" dxfId="51" priority="64">
      <formula>ISBLANK($R$22)</formula>
    </cfRule>
  </conditionalFormatting>
  <conditionalFormatting sqref="W20">
    <cfRule type="expression" dxfId="50" priority="63">
      <formula>ISBLANK($R$34)</formula>
    </cfRule>
  </conditionalFormatting>
  <conditionalFormatting sqref="W21">
    <cfRule type="expression" dxfId="49" priority="62">
      <formula>ISBLANK($R$21)</formula>
    </cfRule>
  </conditionalFormatting>
  <conditionalFormatting sqref="W22">
    <cfRule type="expression" dxfId="48" priority="61">
      <formula>ISBLANK($R$33)</formula>
    </cfRule>
  </conditionalFormatting>
  <conditionalFormatting sqref="W23">
    <cfRule type="expression" dxfId="47" priority="60">
      <formula>ISBLANK($R$26)</formula>
    </cfRule>
  </conditionalFormatting>
  <conditionalFormatting sqref="W24">
    <cfRule type="expression" dxfId="46" priority="59">
      <formula>ISBLANK($R$38)</formula>
    </cfRule>
  </conditionalFormatting>
  <conditionalFormatting sqref="W25">
    <cfRule type="expression" dxfId="45" priority="58">
      <formula>ISBLANK($R$25)</formula>
    </cfRule>
  </conditionalFormatting>
  <conditionalFormatting sqref="W26">
    <cfRule type="expression" dxfId="44" priority="57">
      <formula>ISBLANK($R$37)</formula>
    </cfRule>
  </conditionalFormatting>
  <conditionalFormatting sqref="W27">
    <cfRule type="expression" dxfId="43" priority="56">
      <formula>ISBLANK($R$18)</formula>
    </cfRule>
  </conditionalFormatting>
  <conditionalFormatting sqref="W28">
    <cfRule type="expression" dxfId="42" priority="55">
      <formula>ISBLANK($R$30)</formula>
    </cfRule>
  </conditionalFormatting>
  <conditionalFormatting sqref="W55">
    <cfRule type="expression" dxfId="41" priority="32">
      <formula>ISBLANK($R$55)</formula>
    </cfRule>
  </conditionalFormatting>
  <conditionalFormatting sqref="W56">
    <cfRule type="expression" dxfId="40" priority="31">
      <formula>ISBLANK($R$60)</formula>
    </cfRule>
  </conditionalFormatting>
  <conditionalFormatting sqref="W57">
    <cfRule type="expression" dxfId="39" priority="30">
      <formula>ISBLANK($X$19)</formula>
    </cfRule>
  </conditionalFormatting>
  <conditionalFormatting sqref="W58">
    <cfRule type="expression" dxfId="38" priority="29">
      <formula>ISBLANK($X$24)</formula>
    </cfRule>
  </conditionalFormatting>
  <conditionalFormatting sqref="W59">
    <cfRule type="expression" dxfId="37" priority="28">
      <formula>ISBLANK($R$59)</formula>
    </cfRule>
  </conditionalFormatting>
  <conditionalFormatting sqref="W60">
    <cfRule type="expression" dxfId="36" priority="27">
      <formula>ISBLANK($R$64)</formula>
    </cfRule>
  </conditionalFormatting>
  <conditionalFormatting sqref="W61">
    <cfRule type="expression" dxfId="35" priority="26">
      <formula>ISBLANK($X$23)</formula>
    </cfRule>
  </conditionalFormatting>
  <conditionalFormatting sqref="W62">
    <cfRule type="expression" dxfId="34" priority="25">
      <formula>ISBLANK($X$28)</formula>
    </cfRule>
  </conditionalFormatting>
  <conditionalFormatting sqref="W63">
    <cfRule type="expression" dxfId="33" priority="24">
      <formula>ISBLANK($R$63)</formula>
    </cfRule>
  </conditionalFormatting>
  <conditionalFormatting sqref="W64">
    <cfRule type="expression" dxfId="32" priority="23">
      <formula>ISBLANK($R$56)</formula>
    </cfRule>
  </conditionalFormatting>
  <conditionalFormatting sqref="W65">
    <cfRule type="expression" dxfId="31" priority="22">
      <formula>ISBLANK($X$27)</formula>
    </cfRule>
  </conditionalFormatting>
  <conditionalFormatting sqref="W66">
    <cfRule type="expression" dxfId="30" priority="21">
      <formula>ISBLANK($X$20)</formula>
    </cfRule>
  </conditionalFormatting>
  <conditionalFormatting sqref="AC17">
    <cfRule type="expression" dxfId="29" priority="54">
      <formula>ISBLANK($X$17)</formula>
    </cfRule>
  </conditionalFormatting>
  <conditionalFormatting sqref="AC18">
    <cfRule type="expression" dxfId="28" priority="53">
      <formula>ISBLANK($X$25)</formula>
    </cfRule>
  </conditionalFormatting>
  <conditionalFormatting sqref="AC19">
    <cfRule type="expression" dxfId="27" priority="52">
      <formula>ISBLANK($X$22)</formula>
    </cfRule>
  </conditionalFormatting>
  <conditionalFormatting sqref="AC20">
    <cfRule type="expression" dxfId="26" priority="51">
      <formula>ISBLANK($X$21)</formula>
    </cfRule>
  </conditionalFormatting>
  <conditionalFormatting sqref="AC21">
    <cfRule type="expression" dxfId="25" priority="50">
      <formula>ISBLANK($X$18)</formula>
    </cfRule>
  </conditionalFormatting>
  <conditionalFormatting sqref="AC22">
    <cfRule type="expression" dxfId="24" priority="49">
      <formula>ISBLANK($X$26)</formula>
    </cfRule>
  </conditionalFormatting>
  <conditionalFormatting sqref="AC55">
    <cfRule type="expression" dxfId="23" priority="20">
      <formula>ISBLANK($X$55)</formula>
    </cfRule>
  </conditionalFormatting>
  <conditionalFormatting sqref="AC56">
    <cfRule type="expression" dxfId="22" priority="19">
      <formula>ISBLANK($X$59)</formula>
    </cfRule>
  </conditionalFormatting>
  <conditionalFormatting sqref="AC57">
    <cfRule type="expression" dxfId="21" priority="18">
      <formula>ISBLANK($X$64)</formula>
    </cfRule>
  </conditionalFormatting>
  <conditionalFormatting sqref="AC58">
    <cfRule type="expression" dxfId="20" priority="17">
      <formula>ISBLANK($AD$19)</formula>
    </cfRule>
  </conditionalFormatting>
  <conditionalFormatting sqref="AC59">
    <cfRule type="expression" dxfId="19" priority="16">
      <formula>ISBLANK($X$63)</formula>
    </cfRule>
  </conditionalFormatting>
  <conditionalFormatting sqref="AC60">
    <cfRule type="expression" dxfId="18" priority="15">
      <formula>ISBLANK($X$56)</formula>
    </cfRule>
  </conditionalFormatting>
  <conditionalFormatting sqref="AC61">
    <cfRule type="expression" dxfId="17" priority="14">
      <formula>ISBLANK($X$60)</formula>
    </cfRule>
  </conditionalFormatting>
  <conditionalFormatting sqref="AC62">
    <cfRule type="expression" dxfId="16" priority="13">
      <formula>ISBLANK($AD$22)</formula>
    </cfRule>
  </conditionalFormatting>
  <conditionalFormatting sqref="AI17">
    <cfRule type="expression" dxfId="15" priority="48">
      <formula>ISBLANK($AD$17)</formula>
    </cfRule>
  </conditionalFormatting>
  <conditionalFormatting sqref="AI18">
    <cfRule type="expression" dxfId="14" priority="47">
      <formula>ISBLANK($AD$20)</formula>
    </cfRule>
  </conditionalFormatting>
  <conditionalFormatting sqref="AI19">
    <cfRule type="expression" dxfId="13" priority="46">
      <formula>ISBLANK($AD$18)</formula>
    </cfRule>
  </conditionalFormatting>
  <conditionalFormatting sqref="AI20">
    <cfRule type="expression" dxfId="12" priority="45">
      <formula>ISBLANK($AD$21)</formula>
    </cfRule>
  </conditionalFormatting>
  <conditionalFormatting sqref="AI55">
    <cfRule type="expression" dxfId="11" priority="12">
      <formula>ISBLANK($AD$55)</formula>
    </cfRule>
  </conditionalFormatting>
  <conditionalFormatting sqref="AI56">
    <cfRule type="expression" dxfId="10" priority="11">
      <formula>ISBLANK($AD$59)</formula>
    </cfRule>
  </conditionalFormatting>
  <conditionalFormatting sqref="AI57">
    <cfRule type="expression" dxfId="9" priority="10">
      <formula>ISBLANK($AJ$19)</formula>
    </cfRule>
  </conditionalFormatting>
  <conditionalFormatting sqref="AI58">
    <cfRule type="expression" dxfId="8" priority="9">
      <formula>ISBLANK($AJ$20)</formula>
    </cfRule>
  </conditionalFormatting>
  <conditionalFormatting sqref="AP17">
    <cfRule type="expression" dxfId="7" priority="8">
      <formula>ISBLANK($AJ$17)</formula>
    </cfRule>
  </conditionalFormatting>
  <conditionalFormatting sqref="AP18">
    <cfRule type="expression" dxfId="6" priority="7">
      <formula>ISBLANK($AJ$18)</formula>
    </cfRule>
  </conditionalFormatting>
  <conditionalFormatting sqref="AP19">
    <cfRule type="expression" dxfId="5" priority="6">
      <formula>ISBLANK($AJ$55)</formula>
    </cfRule>
  </conditionalFormatting>
  <conditionalFormatting sqref="AP20">
    <cfRule type="expression" dxfId="4" priority="5">
      <formula>ISBLANK($AJ$56)</formula>
    </cfRule>
  </conditionalFormatting>
  <conditionalFormatting sqref="AP31">
    <cfRule type="expression" dxfId="3" priority="4">
      <formula>ISBLANK($AJ$57)</formula>
    </cfRule>
  </conditionalFormatting>
  <conditionalFormatting sqref="AP32">
    <cfRule type="expression" dxfId="2" priority="3">
      <formula>ISBLANK($AJ$58)</formula>
    </cfRule>
  </conditionalFormatting>
  <conditionalFormatting sqref="AP33">
    <cfRule type="expression" dxfId="1" priority="2">
      <formula>ISBLANK($AD$56)</formula>
    </cfRule>
  </conditionalFormatting>
  <conditionalFormatting sqref="AP34">
    <cfRule type="expression" dxfId="0" priority="1">
      <formula>ISBLANK($AD$60)</formula>
    </cfRule>
  </conditionalFormatting>
  <dataValidations count="31">
    <dataValidation type="whole" showInputMessage="1" showErrorMessage="1" errorTitle="Valeur rentrée" error="Valeur entre 0 et 2 uniquement" sqref="G18:G49 F71:F123 F32:F41 H39:H42 F125:F145 F57:F69 F9:F16" xr:uid="{4A302F6D-6855-4F98-88B3-AE0D66E2021D}">
      <formula1>0</formula1>
      <formula2>2</formula2>
    </dataValidation>
    <dataValidation type="list" allowBlank="1" showInputMessage="1" showErrorMessage="1" errorTitle="Valeur incorrecte" error="Valeurs autorisés :_x000a_    50cc_x000a_    100cc_x000a_    150cc_x000a_    Miroir_x000a_    200cc" sqref="D9" xr:uid="{3F88F2DA-5D3E-44C8-AEFF-22D5B809361D}">
      <formula1>"50cc,100cc,150cc,Miroir,200cc"</formula1>
    </dataValidation>
    <dataValidation type="list" allowBlank="1" showInputMessage="1" showErrorMessage="1" errorTitle="Valeur incorrecte" error="Valeurs autorisés :_x000a_    Facile_x000a_    Normal_x000a_    Difficile" sqref="H9" xr:uid="{279C4669-C795-4BAB-B106-405439CE3B55}">
      <formula1>"Facile,Normal,Difficile"</formula1>
    </dataValidation>
    <dataValidation type="list" allowBlank="1" showInputMessage="1" showErrorMessage="1" errorTitle="Valeur incorrecte" error="Valeurs autorisées :_x000a_    4_x000a_    6_x000a_    8_x000a_    12_x000a_    16_x000a_    24_x000a_    48" sqref="P15 AB15 AH15 P53 V53 AB53 AO15 AO29 V15 AH53" xr:uid="{79285C18-4B82-4B6A-BDA5-70BFC684EB6F}">
      <formula1>"4,6,8,12,16,24,48"</formula1>
    </dataValidation>
    <dataValidation type="list" allowBlank="1" showInputMessage="1" showErrorMessage="1" sqref="R17:R20" xr:uid="{353406DA-03E0-45A5-A27C-0364CBBA46A0}">
      <formula1>$Q$17:$Q$20</formula1>
    </dataValidation>
    <dataValidation type="list" allowBlank="1" showInputMessage="1" showErrorMessage="1" sqref="R21:R24" xr:uid="{113660A4-5E44-48F7-BA2B-3EDDA5F596FC}">
      <formula1>$Q$21:$Q$24</formula1>
    </dataValidation>
    <dataValidation type="list" allowBlank="1" showInputMessage="1" showErrorMessage="1" sqref="R25:R28" xr:uid="{9AF45A9A-4373-4D16-A6FF-F435E632E935}">
      <formula1>$Q$25:$Q$28</formula1>
    </dataValidation>
    <dataValidation type="list" allowBlank="1" showInputMessage="1" showErrorMessage="1" sqref="X29:X32 R29:R32" xr:uid="{B1EBD471-A081-4C14-9475-9B6665093C97}">
      <formula1>$Q$29:$Q$32</formula1>
    </dataValidation>
    <dataValidation type="list" allowBlank="1" showInputMessage="1" showErrorMessage="1" sqref="AD17:AD19" xr:uid="{401D01AA-8325-4809-80E6-3448DC4CFEAA}">
      <formula1>$AC$17:$AC$19</formula1>
    </dataValidation>
    <dataValidation type="list" allowBlank="1" showInputMessage="1" showErrorMessage="1" sqref="AJ17:AJ20" xr:uid="{BB13C608-9D23-4977-8B27-7674F5BB75E7}">
      <formula1>$AI$17:$AI$20</formula1>
    </dataValidation>
    <dataValidation type="list" allowBlank="1" showInputMessage="1" showErrorMessage="1" sqref="R55:R58" xr:uid="{00D7A44C-B7EE-4AAD-978E-18DFEE660C65}">
      <formula1>$Q$55:$Q$58</formula1>
    </dataValidation>
    <dataValidation type="list" allowBlank="1" showInputMessage="1" showErrorMessage="1" sqref="R68 R59:R62" xr:uid="{5FC57F36-72A8-43BF-B9B5-8F4EB6A37127}">
      <formula1>$Q$59:$Q$62</formula1>
    </dataValidation>
    <dataValidation type="list" allowBlank="1" showInputMessage="1" showErrorMessage="1" sqref="X55:X58" xr:uid="{BB57D131-0B25-4D6E-9562-03FF7A994281}">
      <formula1>$W$55:$W$58</formula1>
    </dataValidation>
    <dataValidation type="list" allowBlank="1" showInputMessage="1" showErrorMessage="1" sqref="AQ17:AQ20" xr:uid="{B4D2D38B-5C3E-4C7A-8B4D-14695A9F97B9}">
      <formula1>$AP$17:$AP$20</formula1>
    </dataValidation>
    <dataValidation type="list" allowBlank="1" showInputMessage="1" showErrorMessage="1" sqref="AQ31:AQ34" xr:uid="{15DF635D-896A-411B-BF47-F814791A45D7}">
      <formula1>$AP$31:$AP$34</formula1>
    </dataValidation>
    <dataValidation type="decimal" allowBlank="1" showInputMessage="1" showErrorMessage="1" sqref="AR17:AR20 AR31:AR34" xr:uid="{7F8C02D8-CEA6-446B-A3FC-68FC2F5CD345}">
      <formula1>0</formula1>
      <formula2>720</formula2>
    </dataValidation>
    <dataValidation type="decimal" allowBlank="1" showInputMessage="1" showErrorMessage="1" sqref="E15:E38" xr:uid="{7306D21C-88DF-4620-989A-B80126ACF36D}">
      <formula1>0</formula1>
      <formula2>2</formula2>
    </dataValidation>
    <dataValidation type="list" allowBlank="1" showInputMessage="1" showErrorMessage="1" sqref="AD64:AD68 AJ60:AJ68 X59:X62 X68" xr:uid="{88A72882-DE46-4631-94C0-8FF38604493E}">
      <formula1>$W$59:$W$62</formula1>
    </dataValidation>
    <dataValidation type="list" allowBlank="1" showInputMessage="1" showErrorMessage="1" sqref="AD24" xr:uid="{CCF9C8B8-D114-46F7-AFB7-405BEA8EAC79}">
      <formula1>$AC$21:$AC$24</formula1>
    </dataValidation>
    <dataValidation type="list" allowBlank="1" showInputMessage="1" showErrorMessage="1" sqref="R33:R36" xr:uid="{60D73F6E-0167-4763-93B9-A41F50ACA248}">
      <formula1>$Q$33:$Q$36</formula1>
    </dataValidation>
    <dataValidation type="list" allowBlank="1" showInputMessage="1" showErrorMessage="1" sqref="R37:R40" xr:uid="{F927CE3A-8F9C-4DC9-AF71-24C7E0CDA668}">
      <formula1>$Q$37:$Q$40</formula1>
    </dataValidation>
    <dataValidation type="list" allowBlank="1" showInputMessage="1" showErrorMessage="1" sqref="X17:X20" xr:uid="{D68C05DF-5559-4317-BBBD-26349004C4F6}">
      <formula1>$W$17:$W$20</formula1>
    </dataValidation>
    <dataValidation type="list" allowBlank="1" showInputMessage="1" showErrorMessage="1" sqref="X21:X24" xr:uid="{1A61F60B-BAC4-44E2-8827-8592F6921029}">
      <formula1>$W$21:$W$24</formula1>
    </dataValidation>
    <dataValidation type="list" allowBlank="1" showInputMessage="1" showErrorMessage="1" sqref="X25:X28" xr:uid="{1E96DE93-FE6B-4A3C-AB58-8B7C3F6F79CA}">
      <formula1>$W$25:$W$28</formula1>
    </dataValidation>
    <dataValidation type="list" allowBlank="1" showInputMessage="1" showErrorMessage="1" sqref="AD20:AD22" xr:uid="{63B9E804-002F-4640-BB9D-948D797EA532}">
      <formula1>$AC$20:$AC$22</formula1>
    </dataValidation>
    <dataValidation type="list" allowBlank="1" showInputMessage="1" showErrorMessage="1" sqref="R63:R66" xr:uid="{0D085E90-A6A0-4202-8343-9D929CFEDF24}">
      <formula1>$Q$63:$Q$66</formula1>
    </dataValidation>
    <dataValidation type="list" allowBlank="1" showInputMessage="1" showErrorMessage="1" sqref="X63:X66" xr:uid="{FFE3695E-83FF-4D8D-9293-0F532AE6DC69}">
      <formula1>$W$63:$W$66</formula1>
    </dataValidation>
    <dataValidation type="list" allowBlank="1" showInputMessage="1" showErrorMessage="1" sqref="AD55:AD58" xr:uid="{71067710-AB9B-4943-A46B-1C9A91AE4374}">
      <formula1>$AC$55:$AC$58</formula1>
    </dataValidation>
    <dataValidation type="list" allowBlank="1" showInputMessage="1" showErrorMessage="1" sqref="AD59:AD62" xr:uid="{02DF2A0B-7830-4606-8DE6-4355129D1D62}">
      <formula1>$AC$59:$AC$62</formula1>
    </dataValidation>
    <dataValidation type="list" allowBlank="1" showInputMessage="1" showErrorMessage="1" sqref="AJ55:AJ58" xr:uid="{44693B3B-4FEB-4C07-B4CC-FE344BD50A87}">
      <formula1>$AI$55:$AI$58</formula1>
    </dataValidation>
    <dataValidation type="list" showInputMessage="1" showErrorMessage="1" errorTitle="Valeur rentrée" error="Valeur entre 0 et 2 uniquement" sqref="H15:H38" xr:uid="{98A004DD-1316-49B7-B48F-28A4068D9311}">
      <formula1>$A$1:$A$104</formula1>
    </dataValidation>
  </dataValidations>
  <pageMargins left="0.7" right="0.7" top="0.75" bottom="0.75" header="0.3" footer="0.3"/>
  <pageSetup paperSize="9" scale="16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14" id="{E6DFC4A9-1971-448F-AD1A-E8F35EF5B4EF}">
            <x14:iconSet iconSet="3Symbol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2" iconId="0"/>
              <x14:cfIcon iconSet="3Symbols2" iconId="2"/>
              <x14:cfIcon iconSet="3Symbols2" iconId="1"/>
            </x14:iconSet>
          </x14:cfRule>
          <xm:sqref>E15:E38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Solo 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GoGu</dc:creator>
  <cp:lastModifiedBy>Mr GoGu</cp:lastModifiedBy>
  <dcterms:created xsi:type="dcterms:W3CDTF">2024-09-13T19:34:25Z</dcterms:created>
  <dcterms:modified xsi:type="dcterms:W3CDTF">2025-10-16T12:24:44Z</dcterms:modified>
</cp:coreProperties>
</file>