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GitHub\Asso\AssetsGenerator\resources\template\"/>
    </mc:Choice>
  </mc:AlternateContent>
  <xr:revisionPtr revIDLastSave="0" documentId="13_ncr:1_{5BED5D63-B41D-4B43-8DEF-B269AB21431E}" xr6:coauthVersionLast="47" xr6:coauthVersionMax="47" xr10:uidLastSave="{00000000-0000-0000-0000-000000000000}"/>
  <bookViews>
    <workbookView xWindow="43110" yWindow="8565" windowWidth="21600" windowHeight="11835" xr2:uid="{2F0D60C5-63AA-4767-A59B-0FBF4FA7B0CE}"/>
  </bookViews>
  <sheets>
    <sheet name="Solo 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9" i="1" l="1"/>
  <c r="AC80" i="1"/>
  <c r="AC81" i="1"/>
  <c r="AC82" i="1"/>
  <c r="AC83" i="1"/>
  <c r="AC84" i="1"/>
  <c r="AC85" i="1"/>
  <c r="AC86" i="1"/>
  <c r="AC87" i="1"/>
  <c r="AC88" i="1"/>
  <c r="AC89" i="1"/>
  <c r="AC90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29" i="1"/>
  <c r="I28" i="1"/>
  <c r="I30" i="1"/>
  <c r="I27" i="1"/>
  <c r="I26" i="1"/>
  <c r="I23" i="1"/>
  <c r="I24" i="1"/>
  <c r="I25" i="1"/>
  <c r="BB34" i="1"/>
  <c r="BB33" i="1"/>
  <c r="BB32" i="1"/>
  <c r="BB31" i="1"/>
  <c r="BB20" i="1"/>
  <c r="BB19" i="1"/>
  <c r="BB17" i="1"/>
  <c r="AU80" i="1"/>
  <c r="AU79" i="1"/>
  <c r="AU82" i="1"/>
  <c r="AU81" i="1"/>
  <c r="AO85" i="1"/>
  <c r="AO84" i="1"/>
  <c r="AO83" i="1"/>
  <c r="AO86" i="1"/>
  <c r="AO81" i="1"/>
  <c r="AO80" i="1"/>
  <c r="AO79" i="1"/>
  <c r="AO82" i="1"/>
  <c r="AI89" i="1"/>
  <c r="AI88" i="1"/>
  <c r="AI87" i="1"/>
  <c r="AI86" i="1"/>
  <c r="AI85" i="1"/>
  <c r="AI84" i="1"/>
  <c r="AI83" i="1"/>
  <c r="AI82" i="1"/>
  <c r="AI81" i="1"/>
  <c r="AI80" i="1"/>
  <c r="AI79" i="1"/>
  <c r="AI90" i="1"/>
  <c r="W102" i="1"/>
  <c r="W101" i="1"/>
  <c r="W100" i="1"/>
  <c r="W99" i="1"/>
  <c r="W98" i="1"/>
  <c r="W97" i="1"/>
  <c r="W96" i="1"/>
  <c r="W95" i="1"/>
  <c r="W93" i="1"/>
  <c r="W90" i="1"/>
  <c r="W94" i="1"/>
  <c r="W92" i="1"/>
  <c r="W89" i="1"/>
  <c r="W87" i="1"/>
  <c r="W84" i="1"/>
  <c r="W83" i="1"/>
  <c r="W81" i="1"/>
  <c r="W80" i="1"/>
  <c r="W79" i="1"/>
  <c r="W85" i="1"/>
  <c r="W82" i="1"/>
  <c r="W86" i="1"/>
  <c r="W91" i="1"/>
  <c r="W88" i="1"/>
  <c r="Q102" i="1"/>
  <c r="Q98" i="1"/>
  <c r="Q97" i="1"/>
  <c r="Q94" i="1"/>
  <c r="Q93" i="1"/>
  <c r="Q89" i="1"/>
  <c r="Q86" i="1"/>
  <c r="Q85" i="1"/>
  <c r="Q82" i="1"/>
  <c r="Q81" i="1"/>
  <c r="Q100" i="1"/>
  <c r="Q99" i="1"/>
  <c r="Q96" i="1"/>
  <c r="Q95" i="1"/>
  <c r="Q91" i="1"/>
  <c r="Q88" i="1"/>
  <c r="Q87" i="1"/>
  <c r="Q84" i="1"/>
  <c r="Q83" i="1"/>
  <c r="Q80" i="1"/>
  <c r="AO20" i="1"/>
  <c r="AO19" i="1"/>
  <c r="AO18" i="1"/>
  <c r="AO17" i="1"/>
  <c r="Q90" i="1"/>
  <c r="BB18" i="1"/>
  <c r="AI22" i="1"/>
  <c r="AI21" i="1"/>
  <c r="AI20" i="1"/>
  <c r="AI19" i="1"/>
  <c r="AC26" i="1"/>
  <c r="AC24" i="1"/>
  <c r="AC25" i="1"/>
  <c r="AC23" i="1"/>
  <c r="AC21" i="1"/>
  <c r="AC28" i="1"/>
  <c r="AC19" i="1"/>
  <c r="AC18" i="1"/>
  <c r="W40" i="1"/>
  <c r="W36" i="1"/>
  <c r="W35" i="1"/>
  <c r="W32" i="1"/>
  <c r="W33" i="1"/>
  <c r="W31" i="1"/>
  <c r="W38" i="1"/>
  <c r="W37" i="1"/>
  <c r="W34" i="1"/>
  <c r="W29" i="1"/>
  <c r="W27" i="1"/>
  <c r="W26" i="1"/>
  <c r="W25" i="1"/>
  <c r="W24" i="1"/>
  <c r="W23" i="1"/>
  <c r="W22" i="1"/>
  <c r="W21" i="1"/>
  <c r="W20" i="1"/>
  <c r="W19" i="1"/>
  <c r="W18" i="1"/>
  <c r="AI18" i="1"/>
  <c r="AI17" i="1"/>
  <c r="AC27" i="1"/>
  <c r="AC20" i="1"/>
  <c r="AC22" i="1"/>
  <c r="AC17" i="1"/>
  <c r="W39" i="1"/>
  <c r="Q101" i="1" l="1"/>
  <c r="N63" i="1" l="1"/>
  <c r="N64" i="1"/>
  <c r="N57" i="1"/>
  <c r="N58" i="1"/>
  <c r="N59" i="1"/>
  <c r="N60" i="1"/>
  <c r="N61" i="1"/>
  <c r="N62" i="1"/>
  <c r="N49" i="1"/>
  <c r="N50" i="1"/>
  <c r="N51" i="1"/>
  <c r="N52" i="1"/>
  <c r="N53" i="1"/>
  <c r="N54" i="1"/>
  <c r="N55" i="1"/>
  <c r="N56" i="1"/>
  <c r="Q92" i="1"/>
  <c r="W30" i="1" l="1"/>
  <c r="W28" i="1"/>
  <c r="N41" i="1" l="1"/>
  <c r="N42" i="1"/>
  <c r="N43" i="1"/>
  <c r="N44" i="1"/>
  <c r="N45" i="1"/>
  <c r="N46" i="1"/>
  <c r="N47" i="1"/>
  <c r="N48" i="1"/>
  <c r="W17" i="1"/>
  <c r="N40" i="1"/>
  <c r="N33" i="1"/>
  <c r="N34" i="1"/>
  <c r="N35" i="1"/>
  <c r="N36" i="1"/>
  <c r="N37" i="1"/>
  <c r="N38" i="1"/>
  <c r="N39" i="1"/>
  <c r="Q79" i="1"/>
  <c r="I15" i="1"/>
  <c r="I16" i="1"/>
  <c r="I17" i="1"/>
  <c r="I18" i="1"/>
  <c r="I19" i="1"/>
  <c r="I20" i="1"/>
  <c r="I21" i="1"/>
  <c r="I2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7" i="1"/>
  <c r="O16" i="1"/>
  <c r="O18" i="1" l="1"/>
  <c r="O57" i="1"/>
  <c r="O58" i="1"/>
  <c r="O59" i="1"/>
  <c r="O60" i="1"/>
  <c r="O49" i="1"/>
  <c r="O61" i="1"/>
  <c r="O50" i="1"/>
  <c r="O62" i="1"/>
  <c r="O51" i="1"/>
  <c r="O63" i="1"/>
  <c r="O52" i="1"/>
  <c r="O64" i="1"/>
  <c r="O53" i="1"/>
  <c r="O54" i="1"/>
  <c r="O55" i="1"/>
  <c r="O56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29" i="1"/>
  <c r="O28" i="1"/>
  <c r="O27" i="1"/>
  <c r="O24" i="1"/>
  <c r="O17" i="1"/>
  <c r="O23" i="1"/>
  <c r="O22" i="1"/>
  <c r="O21" i="1"/>
  <c r="O25" i="1"/>
  <c r="O32" i="1"/>
  <c r="O20" i="1"/>
  <c r="O26" i="1"/>
  <c r="O31" i="1"/>
  <c r="O19" i="1"/>
  <c r="O30" i="1"/>
  <c r="Q63" i="1" l="1" a="1"/>
  <c r="Q63" i="1" s="1"/>
  <c r="Q51" i="1" a="1"/>
  <c r="Q51" i="1" s="1"/>
  <c r="Q39" i="1" a="1"/>
  <c r="Q39" i="1" s="1"/>
  <c r="Q27" i="1" a="1"/>
  <c r="Q27" i="1" s="1"/>
  <c r="Q62" i="1" a="1"/>
  <c r="Q62" i="1" s="1"/>
  <c r="Q50" i="1" a="1"/>
  <c r="Q50" i="1" s="1"/>
  <c r="Q38" i="1" a="1"/>
  <c r="Q38" i="1" s="1"/>
  <c r="Q26" i="1" a="1"/>
  <c r="Q26" i="1" s="1"/>
  <c r="Q52" i="1" a="1"/>
  <c r="Q52" i="1" s="1"/>
  <c r="Q61" i="1" a="1"/>
  <c r="Q61" i="1" s="1"/>
  <c r="Q49" i="1" a="1"/>
  <c r="Q49" i="1" s="1"/>
  <c r="Q37" i="1" a="1"/>
  <c r="Q37" i="1" s="1"/>
  <c r="Q25" i="1" a="1"/>
  <c r="Q25" i="1" s="1"/>
  <c r="Q60" i="1" a="1"/>
  <c r="Q60" i="1" s="1"/>
  <c r="Q48" i="1" a="1"/>
  <c r="Q48" i="1" s="1"/>
  <c r="Q36" i="1" a="1"/>
  <c r="Q36" i="1" s="1"/>
  <c r="Q24" i="1" a="1"/>
  <c r="Q24" i="1" s="1"/>
  <c r="Q59" i="1" a="1"/>
  <c r="Q59" i="1" s="1"/>
  <c r="Q47" i="1" a="1"/>
  <c r="Q47" i="1" s="1"/>
  <c r="Q35" i="1" a="1"/>
  <c r="Q35" i="1" s="1"/>
  <c r="Q23" i="1" a="1"/>
  <c r="Q23" i="1" s="1"/>
  <c r="Q64" i="1" a="1"/>
  <c r="Q64" i="1" s="1"/>
  <c r="Q58" i="1" a="1"/>
  <c r="Q58" i="1" s="1"/>
  <c r="Q46" i="1" a="1"/>
  <c r="Q46" i="1" s="1"/>
  <c r="Q34" i="1" a="1"/>
  <c r="Q34" i="1" s="1"/>
  <c r="Q22" i="1" a="1"/>
  <c r="Q22" i="1" s="1"/>
  <c r="Q57" i="1" a="1"/>
  <c r="Q57" i="1" s="1"/>
  <c r="Q45" i="1" a="1"/>
  <c r="Q45" i="1" s="1"/>
  <c r="Q33" i="1" a="1"/>
  <c r="Q33" i="1" s="1"/>
  <c r="Q21" i="1" a="1"/>
  <c r="Q21" i="1" s="1"/>
  <c r="Q56" i="1" a="1"/>
  <c r="Q56" i="1" s="1"/>
  <c r="Q44" i="1" a="1"/>
  <c r="Q44" i="1" s="1"/>
  <c r="Q32" i="1" a="1"/>
  <c r="Q32" i="1" s="1"/>
  <c r="Q20" i="1" a="1"/>
  <c r="Q20" i="1" s="1"/>
  <c r="Q55" i="1" a="1"/>
  <c r="Q55" i="1" s="1"/>
  <c r="Q43" i="1" a="1"/>
  <c r="Q43" i="1" s="1"/>
  <c r="Q31" i="1" a="1"/>
  <c r="Q31" i="1" s="1"/>
  <c r="Q19" i="1" a="1"/>
  <c r="Q19" i="1" s="1"/>
  <c r="Q40" i="1" a="1"/>
  <c r="Q40" i="1" s="1"/>
  <c r="Q54" i="1" a="1"/>
  <c r="Q54" i="1" s="1"/>
  <c r="Q42" i="1" a="1"/>
  <c r="Q42" i="1" s="1"/>
  <c r="Q30" i="1" a="1"/>
  <c r="Q30" i="1" s="1"/>
  <c r="Q18" i="1" a="1"/>
  <c r="Q18" i="1" s="1"/>
  <c r="Q28" i="1" a="1"/>
  <c r="Q28" i="1" s="1"/>
  <c r="Q53" i="1" a="1"/>
  <c r="Q53" i="1" s="1"/>
  <c r="Q41" i="1" a="1"/>
  <c r="Q41" i="1" s="1"/>
  <c r="Q29" i="1" a="1"/>
  <c r="Q29" i="1" s="1"/>
  <c r="Q17" i="1" a="1"/>
  <c r="Q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<sst xmlns="http://schemas.openxmlformats.org/spreadsheetml/2006/main" count="370" uniqueCount="242">
  <si>
    <t>RIFIFI sur le circuit #00</t>
  </si>
  <si>
    <t>Participants</t>
  </si>
  <si>
    <t>Liste Participants</t>
  </si>
  <si>
    <t>Participant #01</t>
  </si>
  <si>
    <t>Participant #02</t>
  </si>
  <si>
    <t>Participant #03</t>
  </si>
  <si>
    <t>Participant #04</t>
  </si>
  <si>
    <t>Participant #05</t>
  </si>
  <si>
    <t>Participant #06</t>
  </si>
  <si>
    <t>Participant #07</t>
  </si>
  <si>
    <t>Participant #08</t>
  </si>
  <si>
    <t>Participant #09</t>
  </si>
  <si>
    <t>Participant #10</t>
  </si>
  <si>
    <t>Participant #11</t>
  </si>
  <si>
    <t>Participant #12</t>
  </si>
  <si>
    <t>Participant #13</t>
  </si>
  <si>
    <t>Participant #14</t>
  </si>
  <si>
    <t>Participant #15</t>
  </si>
  <si>
    <t>Participant #16</t>
  </si>
  <si>
    <t>1er</t>
  </si>
  <si>
    <t>2e</t>
  </si>
  <si>
    <t>3e</t>
  </si>
  <si>
    <t>4e</t>
  </si>
  <si>
    <t>5e</t>
  </si>
  <si>
    <t>6e</t>
  </si>
  <si>
    <t>7e</t>
  </si>
  <si>
    <t>8e</t>
  </si>
  <si>
    <t>9e</t>
  </si>
  <si>
    <t>11e</t>
  </si>
  <si>
    <t>Courses</t>
  </si>
  <si>
    <t>ID</t>
  </si>
  <si>
    <t>Classement</t>
  </si>
  <si>
    <t>A</t>
  </si>
  <si>
    <t>B</t>
  </si>
  <si>
    <t>C</t>
  </si>
  <si>
    <t>D</t>
  </si>
  <si>
    <t>Winner Round #01</t>
  </si>
  <si>
    <t>E</t>
  </si>
  <si>
    <t>F</t>
  </si>
  <si>
    <t>Winner Finale</t>
  </si>
  <si>
    <t>WINNER BRACKET</t>
  </si>
  <si>
    <t>LOOSER BRACKET</t>
  </si>
  <si>
    <t>Looser Round #01</t>
  </si>
  <si>
    <t>Winner Round #02</t>
  </si>
  <si>
    <t>G</t>
  </si>
  <si>
    <t>H</t>
  </si>
  <si>
    <t>Looser Round #02</t>
  </si>
  <si>
    <t>J</t>
  </si>
  <si>
    <t>I</t>
  </si>
  <si>
    <t>Looser Finale</t>
  </si>
  <si>
    <t>WF</t>
  </si>
  <si>
    <t>Petite Finale</t>
  </si>
  <si>
    <t>Grande Finale</t>
  </si>
  <si>
    <t>GF</t>
  </si>
  <si>
    <t>PF</t>
  </si>
  <si>
    <t>K</t>
  </si>
  <si>
    <t>L</t>
  </si>
  <si>
    <t>Points</t>
  </si>
  <si>
    <t>Mario</t>
  </si>
  <si>
    <t>Luigi</t>
  </si>
  <si>
    <t>Peach</t>
  </si>
  <si>
    <t>Daisy</t>
  </si>
  <si>
    <t>Harmonie</t>
  </si>
  <si>
    <t>Yoshi</t>
  </si>
  <si>
    <t>Yoshi Rouge</t>
  </si>
  <si>
    <t>Yoshi Bleu Marine</t>
  </si>
  <si>
    <t>Yoshi Bleu Ciel</t>
  </si>
  <si>
    <t>Yoshi Jaune</t>
  </si>
  <si>
    <t>Yoshi Rose</t>
  </si>
  <si>
    <t>Yoshi Noir</t>
  </si>
  <si>
    <t>Yoshi Blanc</t>
  </si>
  <si>
    <t>Yoshi Orange</t>
  </si>
  <si>
    <t>Toad</t>
  </si>
  <si>
    <t>Koopa</t>
  </si>
  <si>
    <t>Maskass</t>
  </si>
  <si>
    <t>Lakitu</t>
  </si>
  <si>
    <t>Toadette</t>
  </si>
  <si>
    <t>Wario</t>
  </si>
  <si>
    <t>Waluigi</t>
  </si>
  <si>
    <t>Bowser</t>
  </si>
  <si>
    <t>Skelerex</t>
  </si>
  <si>
    <t>Lemmy</t>
  </si>
  <si>
    <t>Larry</t>
  </si>
  <si>
    <t>Wendy</t>
  </si>
  <si>
    <t>Ludwig</t>
  </si>
  <si>
    <t>Iggy</t>
  </si>
  <si>
    <t>Roy</t>
  </si>
  <si>
    <t>Morton</t>
  </si>
  <si>
    <t>Link</t>
  </si>
  <si>
    <t>Villageois</t>
  </si>
  <si>
    <t>Villageoise</t>
  </si>
  <si>
    <t>Marie</t>
  </si>
  <si>
    <t>Birdo</t>
  </si>
  <si>
    <t>Wiggler</t>
  </si>
  <si>
    <t>Kamek</t>
  </si>
  <si>
    <t>Peachette</t>
  </si>
  <si>
    <t>Pauline</t>
  </si>
  <si>
    <t>MII</t>
  </si>
  <si>
    <t>Roi Boo</t>
  </si>
  <si>
    <t>🏆   Résultats Finaux   🏆</t>
  </si>
  <si>
    <t>Participant #17</t>
  </si>
  <si>
    <t>Participant #18</t>
  </si>
  <si>
    <t>Participant #19</t>
  </si>
  <si>
    <t>Participant #20</t>
  </si>
  <si>
    <t>Participant #21</t>
  </si>
  <si>
    <t>Participant #22</t>
  </si>
  <si>
    <t>Participant #23</t>
  </si>
  <si>
    <t>Participant #24</t>
  </si>
  <si>
    <t>LF</t>
  </si>
  <si>
    <t>M</t>
  </si>
  <si>
    <t>N</t>
  </si>
  <si>
    <t>O</t>
  </si>
  <si>
    <t>P</t>
  </si>
  <si>
    <t>Q</t>
  </si>
  <si>
    <t>R</t>
  </si>
  <si>
    <t>S</t>
  </si>
  <si>
    <t>Winner Round #03</t>
  </si>
  <si>
    <t>Looser Round #03</t>
  </si>
  <si>
    <t>Participant #25</t>
  </si>
  <si>
    <t>Participant #26</t>
  </si>
  <si>
    <t>Participant #27</t>
  </si>
  <si>
    <t>Participant #28</t>
  </si>
  <si>
    <t>Participant #29</t>
  </si>
  <si>
    <t>Participant #30</t>
  </si>
  <si>
    <t>Participant #31</t>
  </si>
  <si>
    <t>Participant #32</t>
  </si>
  <si>
    <t>25e</t>
  </si>
  <si>
    <t>Looser Round #04</t>
  </si>
  <si>
    <t>FINALES</t>
  </si>
  <si>
    <t>T</t>
  </si>
  <si>
    <t>U</t>
  </si>
  <si>
    <t>V</t>
  </si>
  <si>
    <t>W</t>
  </si>
  <si>
    <t>X</t>
  </si>
  <si>
    <t>Y</t>
  </si>
  <si>
    <t>Z</t>
  </si>
  <si>
    <t>AA</t>
  </si>
  <si>
    <t>Participant #33</t>
  </si>
  <si>
    <t>Participant #34</t>
  </si>
  <si>
    <t>Participant #35</t>
  </si>
  <si>
    <t>Participant #36</t>
  </si>
  <si>
    <t>Participant #37</t>
  </si>
  <si>
    <t>Participant #38</t>
  </si>
  <si>
    <t>Participant #39</t>
  </si>
  <si>
    <t>Participant #40</t>
  </si>
  <si>
    <t>Participant #41</t>
  </si>
  <si>
    <t>Participant #42</t>
  </si>
  <si>
    <t>Participant #43</t>
  </si>
  <si>
    <t>Participant #44</t>
  </si>
  <si>
    <t>Participant #45</t>
  </si>
  <si>
    <t>Participant #46</t>
  </si>
  <si>
    <t>Participant #47</t>
  </si>
  <si>
    <t>Participant #48</t>
  </si>
  <si>
    <t>37e</t>
  </si>
  <si>
    <t>43e</t>
  </si>
  <si>
    <t>31e</t>
  </si>
  <si>
    <t>22e</t>
  </si>
  <si>
    <t>19e</t>
  </si>
  <si>
    <t>16e</t>
  </si>
  <si>
    <t>13e</t>
  </si>
  <si>
    <t>Winner Round #04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</si>
  <si>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</si>
  <si>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</si>
  <si>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</si>
  <si>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</si>
  <si>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</si>
  <si>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</si>
  <si>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</si>
  <si>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</si>
  <si>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</si>
  <si>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</si>
  <si>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</si>
  <si>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AO</t>
  </si>
  <si>
    <t>AP</t>
  </si>
  <si>
    <t>AQ</t>
  </si>
  <si>
    <t>AR</t>
  </si>
  <si>
    <t>AS</t>
  </si>
  <si>
    <t>Looser Round #05</t>
  </si>
  <si>
    <t>Edition 150cc</t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</si>
  <si>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Daisy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</si>
  <si>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Harmonie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</si>
  <si>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Luigi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</si>
  <si>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</si>
  <si>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Peach</t>
    </r>
  </si>
  <si>
    <r>
      <t>Bill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Dozer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</si>
  <si>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</si>
  <si>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</si>
  <si>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</si>
  <si>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</si>
  <si>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</si>
  <si>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</si>
  <si>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Rouge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</si>
  <si>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</si>
  <si>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Bonhomme</t>
    </r>
    <r>
      <rPr>
        <sz val="13"/>
        <color rgb="FFCCCCCC"/>
        <rFont val="Consolas"/>
        <family val="3"/>
      </rPr>
      <t xml:space="preserve"> de </t>
    </r>
    <r>
      <rPr>
        <sz val="13"/>
        <color rgb="FF4FC1FF"/>
        <rFont val="Consolas"/>
        <family val="3"/>
      </rPr>
      <t>Neige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</si>
  <si>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Jr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</si>
  <si>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Squelette</t>
    </r>
  </si>
  <si>
    <t>Butitine</t>
  </si>
  <si>
    <t>Carottin</t>
  </si>
  <si>
    <t>Catacouac</t>
  </si>
  <si>
    <r>
      <t>Cheep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Cheep</t>
    </r>
  </si>
  <si>
    <t>Crapognon</t>
  </si>
  <si>
    <t>Dauphin</t>
  </si>
  <si>
    <r>
      <t>Diddy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</si>
  <si>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Donkey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</si>
  <si>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Flora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Piranha</t>
    </r>
  </si>
  <si>
    <r>
      <t>Frere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Marteau</t>
    </r>
  </si>
  <si>
    <r>
      <t>Funky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</si>
  <si>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t>Goomba</t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</si>
  <si>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</si>
  <si>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Cyan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</si>
  <si>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Violet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</si>
  <si>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</si>
  <si>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</si>
  <si>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</si>
  <si>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Link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BOTW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</si>
  <si>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Gold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</si>
  <si>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Tanuki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</si>
  <si>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</si>
  <si>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</si>
  <si>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</si>
  <si>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</si>
  <si>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</si>
  <si>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</si>
  <si>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</si>
  <si>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</si>
  <si>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Metal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</si>
  <si>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t>Ossec</t>
  </si>
  <si>
    <t>Paltrak</t>
  </si>
  <si>
    <t>Paracoccinelly</t>
  </si>
  <si>
    <r>
      <t>Peach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Chat</t>
    </r>
  </si>
  <si>
    <r>
      <t>Peach</t>
    </r>
    <r>
      <rPr>
        <sz val="13"/>
        <color rgb="FFCCCCCC"/>
        <rFont val="Consolas"/>
        <family val="3"/>
      </rPr>
      <t xml:space="preserve"> d</t>
    </r>
    <r>
      <rPr>
        <sz val="13"/>
        <color rgb="FFCE9178"/>
        <rFont val="Consolas"/>
        <family val="3"/>
      </rPr>
      <t>'Or Rose</t>
    </r>
  </si>
  <si>
    <t>Pianta</t>
  </si>
  <si>
    <t>Pico Condor</t>
  </si>
  <si>
    <t>Pingouin</t>
  </si>
  <si>
    <t>Plante Piranha</t>
  </si>
  <si>
    <t>Pokey</t>
  </si>
  <si>
    <t>Spike</t>
  </si>
  <si>
    <t>Swooper</t>
  </si>
  <si>
    <t>Topi Taupe</t>
  </si>
  <si>
    <t>Torti Taupe</t>
  </si>
  <si>
    <t>Vache</t>
  </si>
  <si>
    <t>Zarbipas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</si>
</sst>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40"/>
      <color theme="1"/>
      <name val="Arial"/>
      <family val="2"/>
    </font>
    <font>
      <sz val="32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20"/>
      <color theme="1"/>
      <name val="Arial"/>
      <family val="2"/>
    </font>
    <font>
      <b/>
      <sz val="32"/>
      <color theme="1"/>
      <name val="Arial"/>
      <family val="2"/>
    </font>
    <font>
      <b/>
      <sz val="40"/>
      <color theme="1"/>
      <name val="Arial"/>
      <family val="2"/>
    </font>
    <font>
      <sz val="12.5"/>
      <color theme="1"/>
      <name val="Arial"/>
      <family val="2"/>
    </font>
    <font>
      <sz val="13"/>
      <color rgb="FFCE9178"/>
      <name val="Consolas"/>
      <family val="3"/>
    </font>
    <font>
      <b/>
      <sz val="64"/>
      <color theme="1"/>
      <name val="Arial"/>
      <family val="2"/>
    </font>
    <font>
      <b/>
      <sz val="24"/>
      <color theme="1"/>
      <name val="Arial"/>
      <family val="2"/>
    </font>
    <font>
      <sz val="13"/>
      <color rgb="FFCCCCCC"/>
      <name val="Consolas"/>
      <family val="3"/>
    </font>
    <font>
      <sz val="13"/>
      <color rgb="FF4FC1FF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336"/>
        <bgColor indexed="64"/>
      </patternFill>
    </fill>
    <fill>
      <patternFill patternType="solid">
        <fgColor rgb="FFCE9B6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91D42"/>
        <bgColor indexed="64"/>
      </patternFill>
    </fill>
    <fill>
      <patternFill patternType="solid">
        <fgColor rgb="FF51466A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7" fillId="5" borderId="10" xfId="0" applyFont="1" applyFill="1" applyBorder="1"/>
    <xf numFmtId="0" fontId="8" fillId="6" borderId="4" xfId="0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5" borderId="7" xfId="0" applyFont="1" applyFill="1" applyBorder="1"/>
    <xf numFmtId="0" fontId="7" fillId="5" borderId="8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9" borderId="13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0" borderId="14" xfId="0" applyFont="1" applyFill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10" borderId="14" xfId="0" applyFont="1" applyFill="1" applyBorder="1" applyAlignment="1">
      <alignment horizontal="right" vertical="center"/>
    </xf>
    <xf numFmtId="0" fontId="5" fillId="5" borderId="17" xfId="0" applyFont="1" applyFill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0" xfId="0" applyFont="1" applyFill="1" applyBorder="1"/>
    <xf numFmtId="0" fontId="3" fillId="5" borderId="19" xfId="0" applyFont="1" applyFill="1" applyBorder="1"/>
    <xf numFmtId="0" fontId="1" fillId="5" borderId="19" xfId="0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13" fillId="9" borderId="13" xfId="0" applyFont="1" applyFill="1" applyBorder="1" applyAlignment="1">
      <alignment horizontal="right" vertical="center"/>
    </xf>
    <xf numFmtId="0" fontId="13" fillId="8" borderId="14" xfId="0" applyFont="1" applyFill="1" applyBorder="1" applyAlignment="1">
      <alignment horizontal="right" vertical="center"/>
    </xf>
    <xf numFmtId="0" fontId="13" fillId="10" borderId="14" xfId="0" applyFont="1" applyFill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right" vertical="center"/>
    </xf>
    <xf numFmtId="0" fontId="8" fillId="6" borderId="8" xfId="0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right" vertical="center"/>
    </xf>
    <xf numFmtId="0" fontId="7" fillId="5" borderId="11" xfId="0" applyFont="1" applyFill="1" applyBorder="1"/>
    <xf numFmtId="0" fontId="1" fillId="0" borderId="12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3" fillId="3" borderId="14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3" fillId="0" borderId="0" xfId="0" applyFont="1"/>
    <xf numFmtId="0" fontId="3" fillId="3" borderId="13" xfId="0" applyFont="1" applyFill="1" applyBorder="1"/>
    <xf numFmtId="0" fontId="1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/>
    </xf>
    <xf numFmtId="0" fontId="8" fillId="6" borderId="7" xfId="0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9" borderId="13" xfId="0" applyFont="1" applyFill="1" applyBorder="1" applyAlignment="1">
      <alignment horizontal="right" vertical="center"/>
    </xf>
    <xf numFmtId="0" fontId="9" fillId="9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3" fillId="5" borderId="0" xfId="0" applyFont="1" applyFill="1"/>
    <xf numFmtId="0" fontId="8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0" fontId="1" fillId="5" borderId="0" xfId="0" applyFont="1" applyFill="1" applyAlignment="1">
      <alignment vertical="center" textRotation="255"/>
    </xf>
    <xf numFmtId="0" fontId="8" fillId="5" borderId="0" xfId="0" applyFont="1" applyFill="1" applyAlignment="1">
      <alignment horizontal="right" vertical="center"/>
    </xf>
    <xf numFmtId="0" fontId="3" fillId="0" borderId="19" xfId="0" applyFont="1" applyBorder="1"/>
    <xf numFmtId="0" fontId="5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textRotation="255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/>
    </xf>
    <xf numFmtId="9" fontId="1" fillId="5" borderId="0" xfId="0" applyNumberFormat="1" applyFont="1" applyFill="1"/>
    <xf numFmtId="0" fontId="4" fillId="5" borderId="0" xfId="0" applyFont="1" applyFill="1" applyAlignment="1">
      <alignment vertical="center"/>
    </xf>
    <xf numFmtId="0" fontId="3" fillId="5" borderId="21" xfId="0" applyFont="1" applyFill="1" applyBorder="1"/>
    <xf numFmtId="0" fontId="3" fillId="5" borderId="22" xfId="0" applyFont="1" applyFill="1" applyBorder="1"/>
    <xf numFmtId="0" fontId="3" fillId="5" borderId="23" xfId="0" applyFont="1" applyFill="1" applyBorder="1"/>
    <xf numFmtId="0" fontId="8" fillId="6" borderId="13" xfId="0" applyFont="1" applyFill="1" applyBorder="1" applyAlignment="1">
      <alignment horizontal="right" vertical="center"/>
    </xf>
    <xf numFmtId="0" fontId="8" fillId="6" borderId="14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11" fillId="4" borderId="30" xfId="0" applyFont="1" applyFill="1" applyBorder="1" applyAlignment="1">
      <alignment vertical="center"/>
    </xf>
    <xf numFmtId="0" fontId="11" fillId="4" borderId="32" xfId="0" applyFont="1" applyFill="1" applyBorder="1" applyAlignment="1">
      <alignment vertical="center"/>
    </xf>
    <xf numFmtId="0" fontId="11" fillId="4" borderId="3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3" fillId="12" borderId="7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2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 textRotation="255"/>
    </xf>
    <xf numFmtId="0" fontId="3" fillId="3" borderId="15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3" fillId="5" borderId="2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12" fillId="11" borderId="3" xfId="0" applyFont="1" applyFill="1" applyBorder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textRotation="255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14" fontId="16" fillId="4" borderId="31" xfId="0" applyNumberFormat="1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36"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51466A"/>
      <color rgb="FF291D42"/>
      <color rgb="FFFF7C80"/>
      <color rgb="FF453126"/>
      <color rgb="FF83746D"/>
      <color rgb="FF695B50"/>
      <color rgb="FF7B6C4B"/>
      <color rgb="FFCE9B68"/>
      <color rgb="FFF8F336"/>
      <color rgb="FFFBF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83F4-5B81-4835-B94B-188E90A9AF44}">
  <dimension ref="A1:XFC150"/>
  <sheetViews>
    <sheetView tabSelected="1" topLeftCell="B19" zoomScale="40" zoomScaleNormal="40" zoomScaleSheetLayoutView="55" workbookViewId="0">
      <selection activeCell="E49" sqref="E49"/>
    </sheetView>
  </sheetViews>
  <sheetFormatPr baseColWidth="10" defaultColWidth="0" defaultRowHeight="14.25" zeroHeight="1" x14ac:dyDescent="0.2"/>
  <cols>
    <col min="1" max="1" width="47.5703125" style="56" hidden="1" customWidth="1"/>
    <col min="2" max="2" width="5.7109375" style="77" customWidth="1"/>
    <col min="3" max="3" width="13.28515625" style="56" customWidth="1"/>
    <col min="4" max="4" width="30.7109375" style="56" customWidth="1"/>
    <col min="5" max="5" width="4.7109375" style="56" customWidth="1"/>
    <col min="6" max="7" width="10.7109375" style="56" customWidth="1"/>
    <col min="8" max="8" width="20.7109375" style="56" customWidth="1"/>
    <col min="9" max="9" width="30.7109375" style="56" customWidth="1"/>
    <col min="10" max="10" width="8.7109375" style="56" customWidth="1"/>
    <col min="11" max="11" width="13.28515625" style="56" customWidth="1"/>
    <col min="12" max="12" width="10.7109375" style="56" customWidth="1"/>
    <col min="13" max="13" width="4.7109375" style="56" customWidth="1"/>
    <col min="14" max="14" width="32.5703125" style="56" hidden="1" customWidth="1"/>
    <col min="15" max="15" width="30.5703125" style="56" hidden="1" customWidth="1"/>
    <col min="16" max="16" width="4.7109375" style="56" customWidth="1"/>
    <col min="17" max="18" width="30.7109375" style="56" customWidth="1"/>
    <col min="19" max="19" width="4.7109375" style="56" customWidth="1"/>
    <col min="20" max="20" width="10.7109375" style="56" customWidth="1"/>
    <col min="21" max="22" width="4.7109375" style="56" customWidth="1"/>
    <col min="23" max="24" width="30.7109375" style="56" customWidth="1"/>
    <col min="25" max="25" width="4.7109375" style="56" customWidth="1"/>
    <col min="26" max="26" width="10.7109375" style="56" customWidth="1"/>
    <col min="27" max="28" width="4.7109375" style="56" customWidth="1"/>
    <col min="29" max="30" width="30.7109375" style="56" customWidth="1"/>
    <col min="31" max="31" width="4.7109375" style="56" customWidth="1"/>
    <col min="32" max="32" width="10.7109375" style="56" customWidth="1"/>
    <col min="33" max="34" width="4.7109375" style="56" customWidth="1"/>
    <col min="35" max="36" width="30.7109375" style="56" customWidth="1"/>
    <col min="37" max="37" width="4.7109375" style="56" customWidth="1"/>
    <col min="38" max="38" width="10.7109375" style="56" customWidth="1"/>
    <col min="39" max="40" width="4.7109375" style="56" customWidth="1"/>
    <col min="41" max="42" width="30.7109375" style="56" customWidth="1"/>
    <col min="43" max="43" width="4.7109375" style="56" customWidth="1"/>
    <col min="44" max="44" width="10.7109375" style="56" customWidth="1"/>
    <col min="45" max="46" width="4.7109375" style="56" customWidth="1"/>
    <col min="47" max="48" width="30.7109375" style="56" customWidth="1"/>
    <col min="49" max="49" width="4.7109375" style="56" customWidth="1"/>
    <col min="50" max="50" width="10.7109375" style="56" customWidth="1"/>
    <col min="51" max="51" width="15.7109375" style="56" customWidth="1"/>
    <col min="52" max="52" width="4.7109375" style="56" customWidth="1"/>
    <col min="53" max="53" width="5.7109375" style="56" customWidth="1"/>
    <col min="54" max="55" width="30.7109375" style="56" customWidth="1"/>
    <col min="56" max="56" width="10.7109375" style="56" customWidth="1"/>
    <col min="57" max="57" width="4.7109375" style="56" customWidth="1"/>
    <col min="58" max="58" width="15.7109375" style="56" customWidth="1"/>
    <col min="59" max="59" width="5.7109375" style="56" customWidth="1"/>
    <col min="60" max="16383" width="11.42578125" style="56" hidden="1"/>
    <col min="16384" max="16384" width="22.5703125" style="56" hidden="1"/>
  </cols>
  <sheetData>
    <row r="1" spans="1:59" ht="30" customHeight="1" thickBot="1" x14ac:dyDescent="0.25">
      <c r="A1" s="98" t="s">
        <v>179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6"/>
    </row>
    <row r="2" spans="1:59" ht="15" customHeight="1" x14ac:dyDescent="0.2">
      <c r="A2" s="98" t="s">
        <v>180</v>
      </c>
      <c r="B2" s="106"/>
      <c r="C2" s="143" t="s">
        <v>0</v>
      </c>
      <c r="D2" s="144"/>
      <c r="E2" s="144"/>
      <c r="F2" s="144"/>
      <c r="G2" s="144"/>
      <c r="H2" s="144"/>
      <c r="I2" s="144"/>
      <c r="J2" s="144"/>
      <c r="K2" s="144"/>
      <c r="L2" s="102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102"/>
      <c r="AY2" s="27"/>
      <c r="AZ2" s="27"/>
      <c r="BA2" s="27"/>
      <c r="BB2" s="27"/>
      <c r="BC2" s="27"/>
      <c r="BD2" s="27"/>
      <c r="BE2" s="27"/>
      <c r="BF2" s="28"/>
      <c r="BG2" s="105"/>
    </row>
    <row r="3" spans="1:59" ht="15" customHeight="1" x14ac:dyDescent="0.2">
      <c r="A3" s="98" t="s">
        <v>181</v>
      </c>
      <c r="B3" s="106"/>
      <c r="C3" s="145"/>
      <c r="D3" s="146"/>
      <c r="E3" s="146"/>
      <c r="F3" s="146"/>
      <c r="G3" s="146"/>
      <c r="H3" s="146"/>
      <c r="I3" s="146"/>
      <c r="J3" s="146"/>
      <c r="K3" s="146"/>
      <c r="L3" s="103"/>
      <c r="M3" s="78"/>
      <c r="N3" s="78"/>
      <c r="O3" s="78"/>
      <c r="P3" s="78"/>
      <c r="Q3" s="78"/>
      <c r="R3" s="78"/>
      <c r="S3" s="78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103"/>
      <c r="AY3" s="72"/>
      <c r="AZ3" s="72"/>
      <c r="BA3" s="72"/>
      <c r="BB3" s="72"/>
      <c r="BC3" s="72"/>
      <c r="BD3" s="72"/>
      <c r="BE3" s="72"/>
      <c r="BF3" s="29"/>
      <c r="BG3" s="105"/>
    </row>
    <row r="4" spans="1:59" ht="15" customHeight="1" x14ac:dyDescent="0.2">
      <c r="A4" s="98" t="s">
        <v>182</v>
      </c>
      <c r="B4" s="106"/>
      <c r="C4" s="145"/>
      <c r="D4" s="146"/>
      <c r="E4" s="146"/>
      <c r="F4" s="146"/>
      <c r="G4" s="146"/>
      <c r="H4" s="146"/>
      <c r="I4" s="146"/>
      <c r="J4" s="146"/>
      <c r="K4" s="146"/>
      <c r="L4" s="103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103"/>
      <c r="AY4" s="72"/>
      <c r="AZ4" s="72"/>
      <c r="BA4" s="72"/>
      <c r="BB4" s="72"/>
      <c r="BC4" s="72"/>
      <c r="BD4" s="72"/>
      <c r="BE4" s="72"/>
      <c r="BF4" s="29"/>
      <c r="BG4" s="105"/>
    </row>
    <row r="5" spans="1:59" ht="15" customHeight="1" x14ac:dyDescent="0.2">
      <c r="A5" s="98" t="s">
        <v>183</v>
      </c>
      <c r="B5" s="106"/>
      <c r="C5" s="145"/>
      <c r="D5" s="146"/>
      <c r="E5" s="146"/>
      <c r="F5" s="146"/>
      <c r="G5" s="146"/>
      <c r="H5" s="146"/>
      <c r="I5" s="146"/>
      <c r="J5" s="146"/>
      <c r="K5" s="146"/>
      <c r="L5" s="103"/>
      <c r="M5" s="167" t="s">
        <v>40</v>
      </c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8"/>
      <c r="AX5" s="103"/>
      <c r="AY5" s="137" t="s">
        <v>128</v>
      </c>
      <c r="AZ5" s="137"/>
      <c r="BA5" s="137"/>
      <c r="BB5" s="137"/>
      <c r="BC5" s="137"/>
      <c r="BD5" s="137"/>
      <c r="BE5" s="137"/>
      <c r="BF5" s="138"/>
      <c r="BG5" s="105"/>
    </row>
    <row r="6" spans="1:59" ht="24.95" customHeight="1" thickBot="1" x14ac:dyDescent="0.25">
      <c r="A6" s="98" t="s">
        <v>184</v>
      </c>
      <c r="B6" s="106"/>
      <c r="C6" s="147"/>
      <c r="D6" s="148"/>
      <c r="E6" s="148"/>
      <c r="F6" s="148"/>
      <c r="G6" s="148"/>
      <c r="H6" s="148"/>
      <c r="I6" s="148"/>
      <c r="J6" s="148"/>
      <c r="K6" s="148"/>
      <c r="L6" s="103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70"/>
      <c r="AX6" s="103"/>
      <c r="AY6" s="139"/>
      <c r="AZ6" s="139"/>
      <c r="BA6" s="139"/>
      <c r="BB6" s="139"/>
      <c r="BC6" s="139"/>
      <c r="BD6" s="139"/>
      <c r="BE6" s="139"/>
      <c r="BF6" s="140"/>
      <c r="BG6" s="105"/>
    </row>
    <row r="7" spans="1:59" ht="39.75" customHeight="1" thickTop="1" thickBot="1" x14ac:dyDescent="0.25">
      <c r="A7" s="98" t="s">
        <v>92</v>
      </c>
      <c r="B7" s="106"/>
      <c r="C7" s="95"/>
      <c r="D7" s="97" t="s">
        <v>178</v>
      </c>
      <c r="E7" s="97"/>
      <c r="F7" s="97"/>
      <c r="G7" s="97"/>
      <c r="H7" s="97"/>
      <c r="I7" s="173">
        <v>45658</v>
      </c>
      <c r="J7" s="173"/>
      <c r="K7" s="96"/>
      <c r="L7" s="103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2"/>
      <c r="AX7" s="103"/>
      <c r="AY7" s="141"/>
      <c r="AZ7" s="141"/>
      <c r="BA7" s="141"/>
      <c r="BB7" s="141"/>
      <c r="BC7" s="141"/>
      <c r="BD7" s="141"/>
      <c r="BE7" s="141"/>
      <c r="BF7" s="142"/>
      <c r="BG7" s="105"/>
    </row>
    <row r="8" spans="1:59" ht="51.75" hidden="1" customHeight="1" x14ac:dyDescent="0.2">
      <c r="A8" s="98" t="s">
        <v>185</v>
      </c>
      <c r="B8" s="106"/>
      <c r="C8" s="174"/>
      <c r="D8" s="175"/>
      <c r="E8" s="175"/>
      <c r="F8" s="175"/>
      <c r="G8" s="175"/>
      <c r="H8" s="175"/>
      <c r="I8" s="175"/>
      <c r="J8" s="175"/>
      <c r="K8" s="175"/>
      <c r="L8" s="103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G8" s="72"/>
      <c r="AH8" s="72"/>
      <c r="AI8" s="72"/>
      <c r="AJ8" s="72"/>
      <c r="AK8" s="72"/>
      <c r="AM8" s="72"/>
      <c r="AN8" s="72"/>
      <c r="AO8" s="72"/>
      <c r="AP8" s="72"/>
      <c r="AQ8" s="72"/>
      <c r="AX8" s="103"/>
      <c r="AY8" s="72"/>
      <c r="AZ8" s="72"/>
      <c r="BA8" s="72"/>
      <c r="BB8" s="72"/>
      <c r="BC8" s="72"/>
      <c r="BD8" s="72"/>
      <c r="BE8" s="72"/>
      <c r="BF8" s="29"/>
      <c r="BG8" s="105"/>
    </row>
    <row r="9" spans="1:59" ht="30" customHeight="1" thickTop="1" x14ac:dyDescent="0.35">
      <c r="A9" s="98" t="s">
        <v>186</v>
      </c>
      <c r="B9" s="106"/>
      <c r="C9" s="30"/>
      <c r="D9" s="156"/>
      <c r="E9" s="156"/>
      <c r="F9" s="82"/>
      <c r="G9" s="81"/>
      <c r="H9" s="156"/>
      <c r="I9" s="156"/>
      <c r="J9" s="156"/>
      <c r="K9" s="72"/>
      <c r="L9" s="103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103"/>
      <c r="AY9" s="72"/>
      <c r="AZ9" s="72"/>
      <c r="BA9" s="72"/>
      <c r="BB9" s="72"/>
      <c r="BC9" s="72"/>
      <c r="BD9" s="72"/>
      <c r="BE9" s="72"/>
      <c r="BF9" s="29"/>
      <c r="BG9" s="105"/>
    </row>
    <row r="10" spans="1:59" ht="30" customHeight="1" x14ac:dyDescent="0.2">
      <c r="A10" s="98" t="s">
        <v>187</v>
      </c>
      <c r="B10" s="106"/>
      <c r="C10" s="30"/>
      <c r="D10" s="72"/>
      <c r="E10" s="81"/>
      <c r="F10" s="82"/>
      <c r="G10" s="81"/>
      <c r="H10" s="81"/>
      <c r="I10" s="72"/>
      <c r="J10" s="72"/>
      <c r="K10" s="72"/>
      <c r="L10" s="103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103"/>
      <c r="AY10" s="72"/>
      <c r="AZ10" s="72"/>
      <c r="BA10" s="72"/>
      <c r="BB10" s="72"/>
      <c r="BC10" s="72"/>
      <c r="BD10" s="72"/>
      <c r="BE10" s="72"/>
      <c r="BF10" s="29"/>
      <c r="BG10" s="105"/>
    </row>
    <row r="11" spans="1:59" ht="30" customHeight="1" x14ac:dyDescent="0.2">
      <c r="A11" s="98" t="s">
        <v>188</v>
      </c>
      <c r="B11" s="106"/>
      <c r="C11" s="30"/>
      <c r="D11" s="72"/>
      <c r="E11" s="81"/>
      <c r="F11" s="82"/>
      <c r="G11" s="81"/>
      <c r="H11" s="81"/>
      <c r="I11" s="72"/>
      <c r="J11" s="72"/>
      <c r="K11" s="72"/>
      <c r="L11" s="103"/>
      <c r="M11" s="121" t="s">
        <v>36</v>
      </c>
      <c r="N11" s="121"/>
      <c r="O11" s="121"/>
      <c r="P11" s="121"/>
      <c r="Q11" s="121"/>
      <c r="R11" s="121"/>
      <c r="S11" s="122"/>
      <c r="T11" s="72"/>
      <c r="U11" s="120" t="s">
        <v>43</v>
      </c>
      <c r="V11" s="121"/>
      <c r="W11" s="121"/>
      <c r="X11" s="121"/>
      <c r="Y11" s="122"/>
      <c r="Z11" s="72"/>
      <c r="AA11" s="120" t="s">
        <v>116</v>
      </c>
      <c r="AB11" s="121"/>
      <c r="AC11" s="121"/>
      <c r="AD11" s="121"/>
      <c r="AE11" s="122"/>
      <c r="AF11" s="72"/>
      <c r="AG11" s="120" t="s">
        <v>160</v>
      </c>
      <c r="AH11" s="121"/>
      <c r="AI11" s="121"/>
      <c r="AJ11" s="121"/>
      <c r="AK11" s="122"/>
      <c r="AL11" s="72"/>
      <c r="AM11" s="120" t="s">
        <v>39</v>
      </c>
      <c r="AN11" s="121"/>
      <c r="AO11" s="121"/>
      <c r="AP11" s="121"/>
      <c r="AQ11" s="122"/>
      <c r="AR11" s="72"/>
      <c r="AS11" s="72"/>
      <c r="AT11" s="72"/>
      <c r="AU11" s="72"/>
      <c r="AV11" s="72"/>
      <c r="AW11" s="72"/>
      <c r="AX11" s="103"/>
      <c r="AY11" s="72"/>
      <c r="AZ11" s="120" t="s">
        <v>52</v>
      </c>
      <c r="BA11" s="121"/>
      <c r="BB11" s="121"/>
      <c r="BC11" s="121"/>
      <c r="BD11" s="121"/>
      <c r="BE11" s="122"/>
      <c r="BF11" s="29"/>
      <c r="BG11" s="105"/>
    </row>
    <row r="12" spans="1:59" ht="30" customHeight="1" x14ac:dyDescent="0.2">
      <c r="A12" s="98" t="s">
        <v>189</v>
      </c>
      <c r="B12" s="106"/>
      <c r="C12" s="30"/>
      <c r="D12" s="72"/>
      <c r="E12" s="81"/>
      <c r="F12" s="82"/>
      <c r="G12" s="81"/>
      <c r="H12" s="81"/>
      <c r="I12" s="72"/>
      <c r="J12" s="72"/>
      <c r="K12" s="72"/>
      <c r="L12" s="103"/>
      <c r="M12" s="124"/>
      <c r="N12" s="124"/>
      <c r="O12" s="124"/>
      <c r="P12" s="124"/>
      <c r="Q12" s="124"/>
      <c r="R12" s="124"/>
      <c r="S12" s="125"/>
      <c r="T12" s="72"/>
      <c r="U12" s="123"/>
      <c r="V12" s="124"/>
      <c r="W12" s="124"/>
      <c r="X12" s="124"/>
      <c r="Y12" s="125"/>
      <c r="Z12" s="72"/>
      <c r="AA12" s="123"/>
      <c r="AB12" s="124"/>
      <c r="AC12" s="124"/>
      <c r="AD12" s="124"/>
      <c r="AE12" s="125"/>
      <c r="AF12" s="72"/>
      <c r="AG12" s="123"/>
      <c r="AH12" s="124"/>
      <c r="AI12" s="124"/>
      <c r="AJ12" s="124"/>
      <c r="AK12" s="125"/>
      <c r="AL12" s="72"/>
      <c r="AM12" s="123"/>
      <c r="AN12" s="124"/>
      <c r="AO12" s="124"/>
      <c r="AP12" s="124"/>
      <c r="AQ12" s="125"/>
      <c r="AR12" s="72"/>
      <c r="AS12" s="72"/>
      <c r="AT12" s="72"/>
      <c r="AU12" s="72"/>
      <c r="AV12" s="72"/>
      <c r="AW12" s="72"/>
      <c r="AX12" s="103"/>
      <c r="AY12" s="72"/>
      <c r="AZ12" s="123"/>
      <c r="BA12" s="124"/>
      <c r="BB12" s="124"/>
      <c r="BC12" s="124"/>
      <c r="BD12" s="124"/>
      <c r="BE12" s="125"/>
      <c r="BF12" s="29"/>
      <c r="BG12" s="105"/>
    </row>
    <row r="13" spans="1:59" ht="25.5" customHeight="1" x14ac:dyDescent="0.2">
      <c r="A13" s="98" t="s">
        <v>190</v>
      </c>
      <c r="B13" s="106"/>
      <c r="C13" s="30"/>
      <c r="D13" s="149" t="s">
        <v>2</v>
      </c>
      <c r="E13" s="151"/>
      <c r="F13" s="82"/>
      <c r="G13" s="81"/>
      <c r="H13" s="149" t="s">
        <v>99</v>
      </c>
      <c r="I13" s="150"/>
      <c r="J13" s="151"/>
      <c r="K13" s="72"/>
      <c r="L13" s="103"/>
      <c r="M13" s="127"/>
      <c r="N13" s="127"/>
      <c r="O13" s="127"/>
      <c r="P13" s="127"/>
      <c r="Q13" s="127"/>
      <c r="R13" s="127"/>
      <c r="S13" s="128"/>
      <c r="T13" s="72"/>
      <c r="U13" s="126"/>
      <c r="V13" s="127"/>
      <c r="W13" s="127"/>
      <c r="X13" s="127"/>
      <c r="Y13" s="128"/>
      <c r="Z13" s="72"/>
      <c r="AA13" s="126"/>
      <c r="AB13" s="127"/>
      <c r="AC13" s="127"/>
      <c r="AD13" s="127"/>
      <c r="AE13" s="128"/>
      <c r="AF13" s="72"/>
      <c r="AG13" s="126"/>
      <c r="AH13" s="127"/>
      <c r="AI13" s="127"/>
      <c r="AJ13" s="127"/>
      <c r="AK13" s="128"/>
      <c r="AL13" s="72"/>
      <c r="AM13" s="126"/>
      <c r="AN13" s="127"/>
      <c r="AO13" s="127"/>
      <c r="AP13" s="127"/>
      <c r="AQ13" s="128"/>
      <c r="AR13" s="72"/>
      <c r="AS13" s="72"/>
      <c r="AT13" s="72"/>
      <c r="AU13" s="72"/>
      <c r="AV13" s="72"/>
      <c r="AW13" s="72"/>
      <c r="AX13" s="103"/>
      <c r="AY13" s="72"/>
      <c r="AZ13" s="126"/>
      <c r="BA13" s="127"/>
      <c r="BB13" s="127"/>
      <c r="BC13" s="127"/>
      <c r="BD13" s="127"/>
      <c r="BE13" s="128"/>
      <c r="BF13" s="29"/>
      <c r="BG13" s="105"/>
    </row>
    <row r="14" spans="1:59" ht="24.95" customHeight="1" x14ac:dyDescent="0.2">
      <c r="A14" s="98" t="s">
        <v>191</v>
      </c>
      <c r="B14" s="106"/>
      <c r="C14" s="30"/>
      <c r="D14" s="155"/>
      <c r="E14" s="154"/>
      <c r="F14" s="82"/>
      <c r="G14" s="81"/>
      <c r="H14" s="152"/>
      <c r="I14" s="153"/>
      <c r="J14" s="154"/>
      <c r="K14" s="72"/>
      <c r="L14" s="103"/>
      <c r="M14" s="107"/>
      <c r="N14" s="107"/>
      <c r="O14" s="107"/>
      <c r="P14" s="107"/>
      <c r="Q14" s="107"/>
      <c r="R14" s="107"/>
      <c r="S14" s="108"/>
      <c r="T14" s="72"/>
      <c r="U14" s="109"/>
      <c r="V14" s="107"/>
      <c r="W14" s="107"/>
      <c r="X14" s="107"/>
      <c r="Y14" s="108"/>
      <c r="Z14" s="72"/>
      <c r="AA14" s="109"/>
      <c r="AB14" s="107"/>
      <c r="AC14" s="107"/>
      <c r="AD14" s="107"/>
      <c r="AE14" s="108"/>
      <c r="AF14" s="72"/>
      <c r="AG14" s="109"/>
      <c r="AH14" s="107"/>
      <c r="AI14" s="107"/>
      <c r="AJ14" s="107"/>
      <c r="AK14" s="108"/>
      <c r="AL14" s="72"/>
      <c r="AM14" s="109"/>
      <c r="AN14" s="107"/>
      <c r="AO14" s="107"/>
      <c r="AP14" s="107"/>
      <c r="AQ14" s="108"/>
      <c r="AR14" s="72"/>
      <c r="AS14" s="72"/>
      <c r="AT14" s="72"/>
      <c r="AU14" s="72"/>
      <c r="AV14" s="72"/>
      <c r="AW14" s="72"/>
      <c r="AX14" s="103"/>
      <c r="AY14" s="72"/>
      <c r="AZ14" s="109"/>
      <c r="BA14" s="107"/>
      <c r="BB14" s="107"/>
      <c r="BC14" s="107"/>
      <c r="BD14" s="107"/>
      <c r="BE14" s="108"/>
      <c r="BF14" s="29"/>
      <c r="BG14" s="105"/>
    </row>
    <row r="15" spans="1:59" ht="24.95" customHeight="1" x14ac:dyDescent="0.3">
      <c r="A15" s="98" t="s">
        <v>192</v>
      </c>
      <c r="B15" s="106"/>
      <c r="C15" s="30"/>
      <c r="D15" s="70" t="s">
        <v>3</v>
      </c>
      <c r="E15" s="11">
        <v>0</v>
      </c>
      <c r="F15" s="82"/>
      <c r="G15" s="81"/>
      <c r="H15" s="35" t="s">
        <v>58</v>
      </c>
      <c r="I15" s="64" t="str">
        <f>IF(ISBLANK(BC17),"TBD",BC17)</f>
        <v>TBD</v>
      </c>
      <c r="J15" s="65" t="s">
        <v>19</v>
      </c>
      <c r="K15" s="72"/>
      <c r="L15" s="103"/>
      <c r="M15" s="157"/>
      <c r="N15" s="63"/>
      <c r="O15" s="63"/>
      <c r="P15" s="13">
        <v>4</v>
      </c>
      <c r="Q15" s="129" t="s">
        <v>29</v>
      </c>
      <c r="R15" s="130"/>
      <c r="S15" s="110"/>
      <c r="T15" s="72"/>
      <c r="U15" s="110"/>
      <c r="V15" s="44">
        <v>4</v>
      </c>
      <c r="W15" s="129" t="s">
        <v>29</v>
      </c>
      <c r="X15" s="130"/>
      <c r="Y15" s="110"/>
      <c r="Z15" s="72"/>
      <c r="AA15" s="110"/>
      <c r="AB15" s="44">
        <v>4</v>
      </c>
      <c r="AC15" s="129" t="s">
        <v>29</v>
      </c>
      <c r="AD15" s="130"/>
      <c r="AE15" s="110"/>
      <c r="AF15" s="72"/>
      <c r="AG15" s="110"/>
      <c r="AH15" s="2">
        <v>4</v>
      </c>
      <c r="AI15" s="129" t="s">
        <v>29</v>
      </c>
      <c r="AJ15" s="130"/>
      <c r="AK15" s="110"/>
      <c r="AL15" s="72"/>
      <c r="AM15" s="110"/>
      <c r="AN15" s="2">
        <v>4</v>
      </c>
      <c r="AO15" s="129" t="s">
        <v>29</v>
      </c>
      <c r="AP15" s="130"/>
      <c r="AQ15" s="110"/>
      <c r="AR15" s="72"/>
      <c r="AS15" s="72"/>
      <c r="AT15" s="72"/>
      <c r="AU15" s="72"/>
      <c r="AV15" s="72"/>
      <c r="AW15" s="72"/>
      <c r="AX15" s="103"/>
      <c r="AY15" s="72"/>
      <c r="AZ15" s="110"/>
      <c r="BA15" s="2">
        <v>6</v>
      </c>
      <c r="BB15" s="51" t="s">
        <v>29</v>
      </c>
      <c r="BC15" s="51"/>
      <c r="BD15" s="52"/>
      <c r="BE15" s="110"/>
      <c r="BF15" s="29"/>
      <c r="BG15" s="105"/>
    </row>
    <row r="16" spans="1:59" ht="24.95" customHeight="1" x14ac:dyDescent="0.2">
      <c r="A16" s="98" t="s">
        <v>193</v>
      </c>
      <c r="B16" s="106"/>
      <c r="C16" s="30"/>
      <c r="D16" s="21" t="s">
        <v>4</v>
      </c>
      <c r="E16" s="12">
        <v>0</v>
      </c>
      <c r="F16" s="82"/>
      <c r="G16" s="81"/>
      <c r="H16" s="36" t="s">
        <v>58</v>
      </c>
      <c r="I16" s="24" t="str">
        <f>IF(ISBLANK(BC18),"TBD",BC18)</f>
        <v>TBD</v>
      </c>
      <c r="J16" s="66" t="s">
        <v>20</v>
      </c>
      <c r="K16" s="72"/>
      <c r="L16" s="103"/>
      <c r="M16" s="112"/>
      <c r="N16" s="63"/>
      <c r="O16" s="63">
        <f>ROW()</f>
        <v>16</v>
      </c>
      <c r="P16" s="1" t="s">
        <v>30</v>
      </c>
      <c r="Q16" s="11" t="s">
        <v>1</v>
      </c>
      <c r="R16" s="1" t="s">
        <v>31</v>
      </c>
      <c r="S16" s="111"/>
      <c r="T16" s="72"/>
      <c r="U16" s="111"/>
      <c r="V16" s="45" t="s">
        <v>30</v>
      </c>
      <c r="W16" s="11" t="s">
        <v>1</v>
      </c>
      <c r="X16" s="40" t="s">
        <v>31</v>
      </c>
      <c r="Y16" s="111"/>
      <c r="Z16" s="72"/>
      <c r="AA16" s="111"/>
      <c r="AB16" s="45" t="s">
        <v>30</v>
      </c>
      <c r="AC16" s="11" t="s">
        <v>1</v>
      </c>
      <c r="AD16" s="40" t="s">
        <v>31</v>
      </c>
      <c r="AE16" s="111"/>
      <c r="AF16" s="72"/>
      <c r="AG16" s="111"/>
      <c r="AH16" s="1" t="s">
        <v>30</v>
      </c>
      <c r="AI16" s="11" t="s">
        <v>1</v>
      </c>
      <c r="AJ16" s="1" t="s">
        <v>31</v>
      </c>
      <c r="AK16" s="111"/>
      <c r="AL16" s="72"/>
      <c r="AM16" s="111"/>
      <c r="AN16" s="1" t="s">
        <v>30</v>
      </c>
      <c r="AO16" s="11" t="s">
        <v>1</v>
      </c>
      <c r="AP16" s="1" t="s">
        <v>31</v>
      </c>
      <c r="AQ16" s="111"/>
      <c r="AR16" s="72"/>
      <c r="AS16" s="72"/>
      <c r="AT16" s="72"/>
      <c r="AU16" s="72"/>
      <c r="AV16" s="72"/>
      <c r="AW16" s="72"/>
      <c r="AX16" s="103"/>
      <c r="AY16" s="72"/>
      <c r="AZ16" s="111"/>
      <c r="BA16" s="1" t="s">
        <v>30</v>
      </c>
      <c r="BB16" s="11" t="s">
        <v>1</v>
      </c>
      <c r="BC16" s="11" t="s">
        <v>31</v>
      </c>
      <c r="BD16" s="1" t="s">
        <v>57</v>
      </c>
      <c r="BE16" s="111"/>
      <c r="BF16" s="29"/>
      <c r="BG16" s="105"/>
    </row>
    <row r="17" spans="1:59" ht="24.95" customHeight="1" x14ac:dyDescent="0.2">
      <c r="A17" s="98" t="s">
        <v>79</v>
      </c>
      <c r="B17" s="106"/>
      <c r="C17" s="30"/>
      <c r="D17" s="21" t="s">
        <v>5</v>
      </c>
      <c r="E17" s="12">
        <v>0</v>
      </c>
      <c r="F17" s="82"/>
      <c r="G17" s="81"/>
      <c r="H17" s="37" t="s">
        <v>58</v>
      </c>
      <c r="I17" s="25" t="str">
        <f>IF(ISBLANK(BC19),"TBD",BC19)</f>
        <v>TBD</v>
      </c>
      <c r="J17" s="67" t="s">
        <v>21</v>
      </c>
      <c r="K17" s="72"/>
      <c r="L17" s="103"/>
      <c r="M17" s="112"/>
      <c r="N17" s="63" t="str">
        <f t="shared" ref="N17:N64" si="0">IF(E15=2,D15 &amp; "  [DQ]",D15)</f>
        <v>Participant #01</v>
      </c>
      <c r="O17" s="63" t="str">
        <f t="shared" ref="O17:O64" si="1">IF(E15&gt;=1,ROW()-$O$16,"")</f>
        <v/>
      </c>
      <c r="P17" s="159" t="s">
        <v>32</v>
      </c>
      <c r="Q17" s="7" t="str" cm="1">
        <f t="array" ref="Q17">IFERROR(INDEX($N$17:$N$64,SMALL($O$17:$O$64,ROW(B1))),"-")</f>
        <v>-</v>
      </c>
      <c r="R17" s="3"/>
      <c r="S17" s="111"/>
      <c r="T17" s="72"/>
      <c r="U17" s="111"/>
      <c r="V17" s="116" t="s">
        <v>109</v>
      </c>
      <c r="W17" s="7" t="str">
        <f>IF(ISBLANK($R$17),"A1",$R$17)</f>
        <v>A1</v>
      </c>
      <c r="X17" s="41"/>
      <c r="Y17" s="111"/>
      <c r="Z17" s="72"/>
      <c r="AA17" s="111"/>
      <c r="AB17" s="116" t="s">
        <v>115</v>
      </c>
      <c r="AC17" s="7" t="str">
        <f>IF(ISBLANK($X$17),"M1",$X$17)</f>
        <v>M1</v>
      </c>
      <c r="AD17" s="41"/>
      <c r="AE17" s="111"/>
      <c r="AF17" s="72"/>
      <c r="AG17" s="111"/>
      <c r="AH17" s="116" t="s">
        <v>131</v>
      </c>
      <c r="AI17" s="7" t="str">
        <f>IF(ISBLANK($AD$17),"S1",$AD$17)</f>
        <v>S1</v>
      </c>
      <c r="AJ17" s="3"/>
      <c r="AK17" s="111"/>
      <c r="AL17" s="72"/>
      <c r="AM17" s="111"/>
      <c r="AN17" s="116" t="s">
        <v>50</v>
      </c>
      <c r="AO17" s="7" t="str">
        <f>IF(ISBLANK($AJ$17),"V1",$AJ$17)</f>
        <v>V1</v>
      </c>
      <c r="AP17" s="3"/>
      <c r="AQ17" s="111"/>
      <c r="AR17" s="72"/>
      <c r="AS17" s="72"/>
      <c r="AT17" s="72"/>
      <c r="AU17" s="72"/>
      <c r="AV17" s="72"/>
      <c r="AW17" s="72"/>
      <c r="AX17" s="103"/>
      <c r="AY17" s="72"/>
      <c r="AZ17" s="111"/>
      <c r="BA17" s="116" t="s">
        <v>53</v>
      </c>
      <c r="BB17" s="15" t="str">
        <f>IF(ISBLANK($AP$17),"WF1",$AJ$17)</f>
        <v>WF1</v>
      </c>
      <c r="BC17" s="18"/>
      <c r="BD17" s="32">
        <v>0</v>
      </c>
      <c r="BE17" s="111"/>
      <c r="BF17" s="29"/>
      <c r="BG17" s="105"/>
    </row>
    <row r="18" spans="1:59" ht="24.95" customHeight="1" x14ac:dyDescent="0.2">
      <c r="A18" s="98" t="s">
        <v>194</v>
      </c>
      <c r="B18" s="106"/>
      <c r="C18" s="31"/>
      <c r="D18" s="21" t="s">
        <v>6</v>
      </c>
      <c r="E18" s="12">
        <v>0</v>
      </c>
      <c r="F18" s="82"/>
      <c r="G18" s="82"/>
      <c r="H18" s="38" t="s">
        <v>58</v>
      </c>
      <c r="I18" s="21" t="str">
        <f>IF(ISBLANK(BC20),"TBD",BC20)</f>
        <v>TBD</v>
      </c>
      <c r="J18" s="68" t="s">
        <v>22</v>
      </c>
      <c r="K18" s="72"/>
      <c r="L18" s="103"/>
      <c r="M18" s="112"/>
      <c r="N18" s="63" t="str">
        <f t="shared" si="0"/>
        <v>Participant #02</v>
      </c>
      <c r="O18" s="63" t="str">
        <f t="shared" si="1"/>
        <v/>
      </c>
      <c r="P18" s="114"/>
      <c r="Q18" s="8" t="str" cm="1">
        <f t="array" ref="Q18">IFERROR(INDEX($N$17:$N$64,SMALL($O$17:$O$64,ROW(B13))),"-")</f>
        <v>-</v>
      </c>
      <c r="R18" s="10"/>
      <c r="S18" s="111"/>
      <c r="T18" s="72"/>
      <c r="U18" s="111"/>
      <c r="V18" s="117"/>
      <c r="W18" s="8" t="str">
        <f>IF(ISBLANK($R$21),"B1",$R$21)</f>
        <v>B1</v>
      </c>
      <c r="X18" s="42"/>
      <c r="Y18" s="111"/>
      <c r="Z18" s="72"/>
      <c r="AA18" s="111"/>
      <c r="AB18" s="117"/>
      <c r="AC18" s="8" t="str">
        <f>IF(ISBLANK($X$21),"N1",$X$21)</f>
        <v>N1</v>
      </c>
      <c r="AD18" s="42"/>
      <c r="AE18" s="111"/>
      <c r="AF18" s="72"/>
      <c r="AG18" s="111"/>
      <c r="AH18" s="117"/>
      <c r="AI18" s="8" t="str">
        <f>IF(ISBLANK($AD$21),"T1",$AD$21)</f>
        <v>T1</v>
      </c>
      <c r="AJ18" s="10"/>
      <c r="AK18" s="111"/>
      <c r="AL18" s="72"/>
      <c r="AM18" s="111"/>
      <c r="AN18" s="117"/>
      <c r="AO18" s="8" t="str">
        <f>IF(ISBLANK($AJ$20),"W1",$AJ$20)</f>
        <v>W1</v>
      </c>
      <c r="AP18" s="10"/>
      <c r="AQ18" s="111"/>
      <c r="AR18" s="72"/>
      <c r="AS18" s="72"/>
      <c r="AT18" s="72"/>
      <c r="AU18" s="72"/>
      <c r="AV18" s="72"/>
      <c r="AW18" s="72"/>
      <c r="AX18" s="103"/>
      <c r="AY18" s="72"/>
      <c r="AZ18" s="111"/>
      <c r="BA18" s="117"/>
      <c r="BB18" s="16" t="str">
        <f>IF(ISBLANK($AP$18),"WF2",$AP$18)</f>
        <v>WF2</v>
      </c>
      <c r="BC18" s="19"/>
      <c r="BD18" s="33">
        <v>0</v>
      </c>
      <c r="BE18" s="111"/>
      <c r="BF18" s="29"/>
      <c r="BG18" s="105"/>
    </row>
    <row r="19" spans="1:59" ht="24.95" customHeight="1" x14ac:dyDescent="0.2">
      <c r="A19" s="98" t="s">
        <v>195</v>
      </c>
      <c r="B19" s="106"/>
      <c r="C19" s="31"/>
      <c r="D19" s="21" t="s">
        <v>7</v>
      </c>
      <c r="E19" s="12">
        <v>0</v>
      </c>
      <c r="F19" s="82"/>
      <c r="G19" s="82"/>
      <c r="H19" s="38" t="s">
        <v>58</v>
      </c>
      <c r="I19" s="21" t="str">
        <f>IF(ISBLANK(BC31),"TBD",BC31)</f>
        <v>TBD</v>
      </c>
      <c r="J19" s="68" t="s">
        <v>23</v>
      </c>
      <c r="K19" s="72"/>
      <c r="L19" s="103"/>
      <c r="M19" s="112"/>
      <c r="N19" s="63" t="str">
        <f t="shared" si="0"/>
        <v>Participant #03</v>
      </c>
      <c r="O19" s="63" t="str">
        <f t="shared" si="1"/>
        <v/>
      </c>
      <c r="P19" s="114"/>
      <c r="Q19" s="8" t="str" cm="1">
        <f t="array" ref="Q19">IFERROR(INDEX($N$17:$N$64,SMALL($O$17:$O$64,ROW(B25))),"-")</f>
        <v>-</v>
      </c>
      <c r="R19" s="4"/>
      <c r="S19" s="111"/>
      <c r="T19" s="72"/>
      <c r="U19" s="111"/>
      <c r="V19" s="117"/>
      <c r="W19" s="8" t="str">
        <f>IF(ISBLANK($R$58),"K2",$R$58)</f>
        <v>K2</v>
      </c>
      <c r="X19" s="74"/>
      <c r="Y19" s="111"/>
      <c r="Z19" s="72"/>
      <c r="AA19" s="111"/>
      <c r="AB19" s="117"/>
      <c r="AC19" s="8" t="str">
        <f>IF(ISBLANK($X$26),"O2",$X$26)</f>
        <v>O2</v>
      </c>
      <c r="AD19" s="74"/>
      <c r="AE19" s="111"/>
      <c r="AF19" s="72"/>
      <c r="AG19" s="111"/>
      <c r="AH19" s="118"/>
      <c r="AI19" s="8" t="str">
        <f>IF(ISBLANK($AD$18),"U2",$AD$26)</f>
        <v>U2</v>
      </c>
      <c r="AJ19" s="4"/>
      <c r="AK19" s="111"/>
      <c r="AL19" s="72"/>
      <c r="AM19" s="111"/>
      <c r="AN19" s="117"/>
      <c r="AO19" s="8" t="str">
        <f>IF(ISBLANK($AJ$18),"V2",$AJ$18)</f>
        <v>V2</v>
      </c>
      <c r="AP19" s="4"/>
      <c r="AQ19" s="111"/>
      <c r="AR19" s="72"/>
      <c r="AS19" s="72"/>
      <c r="AT19" s="72"/>
      <c r="AU19" s="72"/>
      <c r="AV19" s="72"/>
      <c r="AW19" s="72"/>
      <c r="AX19" s="103"/>
      <c r="AY19" s="72"/>
      <c r="AZ19" s="111"/>
      <c r="BA19" s="117"/>
      <c r="BB19" s="16" t="str">
        <f>IF(ISBLANK($AV$79),"LF1",$AV$79)</f>
        <v>LF1</v>
      </c>
      <c r="BC19" s="20"/>
      <c r="BD19" s="34">
        <v>0</v>
      </c>
      <c r="BE19" s="111"/>
      <c r="BF19" s="29"/>
      <c r="BG19" s="105"/>
    </row>
    <row r="20" spans="1:59" ht="24.95" customHeight="1" x14ac:dyDescent="0.2">
      <c r="A20" s="98" t="s">
        <v>196</v>
      </c>
      <c r="B20" s="106"/>
      <c r="C20" s="31"/>
      <c r="D20" s="21" t="s">
        <v>8</v>
      </c>
      <c r="E20" s="12">
        <v>0</v>
      </c>
      <c r="F20" s="82"/>
      <c r="G20" s="82"/>
      <c r="H20" s="38" t="s">
        <v>58</v>
      </c>
      <c r="I20" s="21" t="str">
        <f>IF(ISBLANK(BC32),"TBD",BC32)</f>
        <v>TBD</v>
      </c>
      <c r="J20" s="68" t="s">
        <v>24</v>
      </c>
      <c r="K20" s="72"/>
      <c r="L20" s="103"/>
      <c r="M20" s="112"/>
      <c r="N20" s="63" t="str">
        <f t="shared" si="0"/>
        <v>Participant #04</v>
      </c>
      <c r="O20" s="63" t="str">
        <f t="shared" si="1"/>
        <v/>
      </c>
      <c r="P20" s="115"/>
      <c r="Q20" s="9" t="str" cm="1">
        <f t="array" ref="Q20">IFERROR(INDEX($N$17:$N$64,SMALL($O$17:$O$64,ROW(B37))),"-")</f>
        <v>-</v>
      </c>
      <c r="R20" s="5"/>
      <c r="S20" s="111"/>
      <c r="T20" s="72"/>
      <c r="U20" s="111"/>
      <c r="V20" s="118"/>
      <c r="W20" s="9" t="str">
        <f>IF(ISBLANK($R$62),"L2",$R$62)</f>
        <v>L2</v>
      </c>
      <c r="X20" s="43"/>
      <c r="Y20" s="111"/>
      <c r="Z20" s="72"/>
      <c r="AA20" s="111"/>
      <c r="AB20" s="118"/>
      <c r="AC20" s="9" t="str">
        <f>IF(ISBLANK($X$30),"P2",$X$30)</f>
        <v>P2</v>
      </c>
      <c r="AD20" s="43"/>
      <c r="AE20" s="111"/>
      <c r="AF20" s="72"/>
      <c r="AG20" s="111"/>
      <c r="AH20" s="114" t="s">
        <v>132</v>
      </c>
      <c r="AI20" s="15" t="str">
        <f>IF(ISBLANK($AD$25),"U1",$AD$25)</f>
        <v>U1</v>
      </c>
      <c r="AJ20" s="89"/>
      <c r="AK20" s="112"/>
      <c r="AL20" s="72"/>
      <c r="AM20" s="119"/>
      <c r="AN20" s="118"/>
      <c r="AO20" s="9" t="str">
        <f>IF(ISBLANK($AJ$21),"W2",$AJ$21)</f>
        <v>W2</v>
      </c>
      <c r="AP20" s="5"/>
      <c r="AQ20" s="119"/>
      <c r="AR20" s="72"/>
      <c r="AS20" s="72"/>
      <c r="AT20" s="72"/>
      <c r="AU20" s="72"/>
      <c r="AV20" s="72"/>
      <c r="AW20" s="72"/>
      <c r="AX20" s="103"/>
      <c r="AY20" s="72"/>
      <c r="AZ20" s="119"/>
      <c r="BA20" s="118"/>
      <c r="BB20" s="17" t="str">
        <f>IF(ISBLANK($AV$80),"LF2",$AV$80)</f>
        <v>LF2</v>
      </c>
      <c r="BC20" s="6"/>
      <c r="BD20" s="10">
        <v>0</v>
      </c>
      <c r="BE20" s="119"/>
      <c r="BF20" s="29"/>
      <c r="BG20" s="105"/>
    </row>
    <row r="21" spans="1:59" ht="24.95" customHeight="1" x14ac:dyDescent="0.2">
      <c r="A21" s="98" t="s">
        <v>197</v>
      </c>
      <c r="B21" s="106"/>
      <c r="C21" s="31"/>
      <c r="D21" s="21" t="s">
        <v>9</v>
      </c>
      <c r="E21" s="12">
        <v>0</v>
      </c>
      <c r="F21" s="82"/>
      <c r="G21" s="82"/>
      <c r="H21" s="38" t="s">
        <v>58</v>
      </c>
      <c r="I21" s="21" t="str">
        <f>IF(ISBLANK(BC33),"TBD",BC33)</f>
        <v>TBD</v>
      </c>
      <c r="J21" s="68" t="s">
        <v>25</v>
      </c>
      <c r="K21" s="72"/>
      <c r="L21" s="103"/>
      <c r="M21" s="112"/>
      <c r="N21" s="63" t="str">
        <f t="shared" si="0"/>
        <v>Participant #05</v>
      </c>
      <c r="O21" s="63" t="str">
        <f t="shared" si="1"/>
        <v/>
      </c>
      <c r="P21" s="159" t="s">
        <v>33</v>
      </c>
      <c r="Q21" s="7" t="str" cm="1">
        <f t="array" ref="Q21">IFERROR(INDEX($N$17:$N$64,SMALL($O$17:$O$64,ROW(B2))),"-")</f>
        <v>-</v>
      </c>
      <c r="R21" s="3"/>
      <c r="S21" s="111"/>
      <c r="T21" s="72"/>
      <c r="U21" s="111"/>
      <c r="V21" s="116" t="s">
        <v>110</v>
      </c>
      <c r="W21" s="8" t="str">
        <f>IF(ISBLANK($R$25),"C1",$R$25)</f>
        <v>C1</v>
      </c>
      <c r="X21" s="41"/>
      <c r="Y21" s="111"/>
      <c r="Z21" s="72"/>
      <c r="AA21" s="111"/>
      <c r="AB21" s="116" t="s">
        <v>129</v>
      </c>
      <c r="AC21" s="8" t="str">
        <f>IF(ISBLANK($X$25),"O1",$X$25)</f>
        <v>O1</v>
      </c>
      <c r="AD21" s="41"/>
      <c r="AE21" s="111"/>
      <c r="AF21" s="72"/>
      <c r="AG21" s="111"/>
      <c r="AH21" s="114"/>
      <c r="AI21" s="16" t="str">
        <f>IF(ISBLANK($AD$18),"S2",$AD$18)</f>
        <v>S2</v>
      </c>
      <c r="AJ21" s="90"/>
      <c r="AK21" s="112"/>
      <c r="AL21" s="72"/>
      <c r="AM21" s="109"/>
      <c r="AN21" s="107"/>
      <c r="AO21" s="107"/>
      <c r="AP21" s="107"/>
      <c r="AQ21" s="108"/>
      <c r="AR21" s="72"/>
      <c r="AS21" s="72"/>
      <c r="AT21" s="72"/>
      <c r="AU21" s="72"/>
      <c r="AV21" s="72"/>
      <c r="AW21" s="72"/>
      <c r="AX21" s="103"/>
      <c r="AY21" s="72"/>
      <c r="AZ21" s="109"/>
      <c r="BA21" s="107"/>
      <c r="BB21" s="107"/>
      <c r="BC21" s="107"/>
      <c r="BD21" s="107"/>
      <c r="BE21" s="108"/>
      <c r="BF21" s="29"/>
      <c r="BG21" s="105"/>
    </row>
    <row r="22" spans="1:59" ht="24.95" customHeight="1" x14ac:dyDescent="0.2">
      <c r="A22" s="98" t="s">
        <v>198</v>
      </c>
      <c r="B22" s="106"/>
      <c r="C22" s="31"/>
      <c r="D22" s="21" t="s">
        <v>10</v>
      </c>
      <c r="E22" s="12">
        <v>0</v>
      </c>
      <c r="F22" s="82"/>
      <c r="G22" s="82"/>
      <c r="H22" s="38" t="s">
        <v>58</v>
      </c>
      <c r="I22" s="21" t="str">
        <f>IF(ISBLANK(BC34),"TBD",BC34)</f>
        <v>TBD</v>
      </c>
      <c r="J22" s="68" t="s">
        <v>26</v>
      </c>
      <c r="K22" s="72"/>
      <c r="L22" s="103"/>
      <c r="M22" s="112"/>
      <c r="N22" s="63" t="str">
        <f t="shared" si="0"/>
        <v>Participant #06</v>
      </c>
      <c r="O22" s="63" t="str">
        <f t="shared" si="1"/>
        <v/>
      </c>
      <c r="P22" s="114"/>
      <c r="Q22" s="8" t="str" cm="1">
        <f t="array" ref="Q22">IFERROR(INDEX($N$17:$N$64,SMALL($O$17:$O$64,ROW(B14))),"-")</f>
        <v>-</v>
      </c>
      <c r="R22" s="10"/>
      <c r="S22" s="111"/>
      <c r="T22" s="72"/>
      <c r="U22" s="111"/>
      <c r="V22" s="117"/>
      <c r="W22" s="8" t="str">
        <f>IF(ISBLANK($R$29),"D1",$R$29)</f>
        <v>D1</v>
      </c>
      <c r="X22" s="42"/>
      <c r="Y22" s="111"/>
      <c r="Z22" s="72"/>
      <c r="AA22" s="111"/>
      <c r="AB22" s="117"/>
      <c r="AC22" s="8" t="str">
        <f>IF(ISBLANK($X$29),"P1",$X$29)</f>
        <v>P1</v>
      </c>
      <c r="AD22" s="42"/>
      <c r="AE22" s="111"/>
      <c r="AF22" s="72"/>
      <c r="AG22" s="111"/>
      <c r="AH22" s="115"/>
      <c r="AI22" s="17" t="str">
        <f>IF(ISBLANK($AD$22),"T2",$AD$22)</f>
        <v>T2</v>
      </c>
      <c r="AJ22" s="91"/>
      <c r="AK22" s="11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103"/>
      <c r="AY22" s="72"/>
      <c r="AZ22" s="72"/>
      <c r="BA22" s="72"/>
      <c r="BB22" s="72"/>
      <c r="BC22" s="72"/>
      <c r="BD22" s="72"/>
      <c r="BE22" s="72"/>
      <c r="BF22" s="29"/>
      <c r="BG22" s="105"/>
    </row>
    <row r="23" spans="1:59" ht="24.95" customHeight="1" x14ac:dyDescent="0.2">
      <c r="A23" s="98" t="s">
        <v>199</v>
      </c>
      <c r="B23" s="106"/>
      <c r="C23" s="31"/>
      <c r="D23" s="21" t="s">
        <v>11</v>
      </c>
      <c r="E23" s="12">
        <v>0</v>
      </c>
      <c r="F23" s="82"/>
      <c r="G23" s="82"/>
      <c r="H23" s="38" t="s">
        <v>58</v>
      </c>
      <c r="I23" s="21" t="str">
        <f>IF(ISBLANK(AP81),"TBD",AP81)</f>
        <v>TBD</v>
      </c>
      <c r="J23" s="68" t="s">
        <v>27</v>
      </c>
      <c r="K23" s="72"/>
      <c r="L23" s="103"/>
      <c r="M23" s="112"/>
      <c r="N23" s="63" t="str">
        <f t="shared" si="0"/>
        <v>Participant #07</v>
      </c>
      <c r="O23" s="63" t="str">
        <f t="shared" si="1"/>
        <v/>
      </c>
      <c r="P23" s="114"/>
      <c r="Q23" s="8" t="str" cm="1">
        <f t="array" ref="Q23">IFERROR(INDEX($N$17:$N$64,SMALL($O$17:$O$64,ROW(B26))),"-")</f>
        <v>-</v>
      </c>
      <c r="R23" s="4"/>
      <c r="S23" s="111"/>
      <c r="T23" s="72"/>
      <c r="U23" s="111"/>
      <c r="V23" s="117"/>
      <c r="W23" s="8" t="str">
        <f>IF(ISBLANK($R$50),"I2",$R$50)</f>
        <v>I2</v>
      </c>
      <c r="X23" s="74"/>
      <c r="Y23" s="111"/>
      <c r="Z23" s="72"/>
      <c r="AA23" s="111"/>
      <c r="AB23" s="117"/>
      <c r="AC23" s="8" t="str">
        <f>IF(ISBLANK($X$34),"Q2",$X$34)</f>
        <v>Q2</v>
      </c>
      <c r="AD23" s="74"/>
      <c r="AE23" s="111"/>
      <c r="AF23" s="72"/>
      <c r="AG23" s="109"/>
      <c r="AH23" s="107"/>
      <c r="AI23" s="113"/>
      <c r="AJ23" s="113"/>
      <c r="AK23" s="108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103"/>
      <c r="AY23" s="72"/>
      <c r="AZ23" s="72"/>
      <c r="BA23" s="72"/>
      <c r="BB23" s="72"/>
      <c r="BC23" s="72"/>
      <c r="BD23" s="72"/>
      <c r="BE23" s="72"/>
      <c r="BF23" s="29"/>
      <c r="BG23" s="105"/>
    </row>
    <row r="24" spans="1:59" ht="24.95" customHeight="1" x14ac:dyDescent="0.2">
      <c r="A24" s="98" t="s">
        <v>200</v>
      </c>
      <c r="B24" s="106"/>
      <c r="C24" s="31"/>
      <c r="D24" s="21" t="s">
        <v>12</v>
      </c>
      <c r="E24" s="12">
        <v>0</v>
      </c>
      <c r="F24" s="82"/>
      <c r="G24" s="82"/>
      <c r="H24" s="38" t="s">
        <v>58</v>
      </c>
      <c r="I24" s="21" t="str">
        <f>IF(ISBLANK(AP85),"TBD",AP85)</f>
        <v>TBD</v>
      </c>
      <c r="J24" s="68" t="s">
        <v>27</v>
      </c>
      <c r="K24" s="72"/>
      <c r="L24" s="103"/>
      <c r="M24" s="112"/>
      <c r="N24" s="63" t="str">
        <f t="shared" si="0"/>
        <v>Participant #08</v>
      </c>
      <c r="O24" s="63" t="str">
        <f t="shared" si="1"/>
        <v/>
      </c>
      <c r="P24" s="115"/>
      <c r="Q24" s="9" t="str" cm="1">
        <f t="array" ref="Q24">IFERROR(INDEX($N$17:$N$64,SMALL($O$17:$O$64,ROW(B38))),"-")</f>
        <v>-</v>
      </c>
      <c r="R24" s="5"/>
      <c r="S24" s="111"/>
      <c r="T24" s="72"/>
      <c r="U24" s="111"/>
      <c r="V24" s="118"/>
      <c r="W24" s="9" t="str">
        <f>IF(ISBLANK($R$54),"J2",$R$54)</f>
        <v>J2</v>
      </c>
      <c r="X24" s="43"/>
      <c r="Y24" s="111"/>
      <c r="Z24" s="72"/>
      <c r="AA24" s="111"/>
      <c r="AB24" s="118"/>
      <c r="AC24" s="9" t="str">
        <f>IF(ISBLANK($X$38),"R2",$X$38)</f>
        <v>R2</v>
      </c>
      <c r="AD24" s="43"/>
      <c r="AE24" s="111"/>
      <c r="AF24" s="72"/>
      <c r="AG24" s="72"/>
      <c r="AH24" s="75"/>
      <c r="AI24" s="73"/>
      <c r="AJ24" s="76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103"/>
      <c r="AY24" s="72"/>
      <c r="AZ24" s="72"/>
      <c r="BA24" s="72"/>
      <c r="BB24" s="72"/>
      <c r="BC24" s="72"/>
      <c r="BD24" s="72"/>
      <c r="BE24" s="72"/>
      <c r="BF24" s="29"/>
      <c r="BG24" s="105"/>
    </row>
    <row r="25" spans="1:59" ht="24.95" customHeight="1" x14ac:dyDescent="0.2">
      <c r="A25" s="98" t="s">
        <v>61</v>
      </c>
      <c r="B25" s="106"/>
      <c r="C25" s="31"/>
      <c r="D25" s="21" t="s">
        <v>13</v>
      </c>
      <c r="E25" s="12">
        <v>0</v>
      </c>
      <c r="F25" s="82"/>
      <c r="G25" s="82"/>
      <c r="H25" s="38" t="s">
        <v>58</v>
      </c>
      <c r="I25" s="21" t="str">
        <f>IF(ISBLANK(AP82),"TBD",AP82)</f>
        <v>TBD</v>
      </c>
      <c r="J25" s="68" t="s">
        <v>28</v>
      </c>
      <c r="K25" s="72"/>
      <c r="L25" s="103"/>
      <c r="M25" s="112"/>
      <c r="N25" s="63" t="str">
        <f t="shared" si="0"/>
        <v>Participant #09</v>
      </c>
      <c r="O25" s="63" t="str">
        <f t="shared" si="1"/>
        <v/>
      </c>
      <c r="P25" s="159" t="s">
        <v>34</v>
      </c>
      <c r="Q25" s="7" t="str" cm="1">
        <f t="array" ref="Q25">IFERROR(INDEX($N$17:$N$64,SMALL($O$17:$O$64,ROW(B3))),"-")</f>
        <v>-</v>
      </c>
      <c r="R25" s="3"/>
      <c r="S25" s="111"/>
      <c r="T25" s="72"/>
      <c r="U25" s="111"/>
      <c r="V25" s="116" t="s">
        <v>111</v>
      </c>
      <c r="W25" s="8" t="str">
        <f>IF(ISBLANK($R$33),"E1",$R$33)</f>
        <v>E1</v>
      </c>
      <c r="X25" s="41"/>
      <c r="Y25" s="111"/>
      <c r="Z25" s="72"/>
      <c r="AA25" s="111"/>
      <c r="AB25" s="116" t="s">
        <v>130</v>
      </c>
      <c r="AC25" s="8" t="str">
        <f>IF(ISBLANK($X$33),"Q1",$X$33)</f>
        <v>Q1</v>
      </c>
      <c r="AD25" s="41"/>
      <c r="AE25" s="111"/>
      <c r="AF25" s="72"/>
      <c r="AG25" s="166"/>
      <c r="AH25" s="166"/>
      <c r="AI25" s="166"/>
      <c r="AJ25" s="166"/>
      <c r="AK25" s="166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103"/>
      <c r="AY25" s="72"/>
      <c r="AZ25" s="120" t="s">
        <v>51</v>
      </c>
      <c r="BA25" s="121"/>
      <c r="BB25" s="121"/>
      <c r="BC25" s="121"/>
      <c r="BD25" s="121"/>
      <c r="BE25" s="122"/>
      <c r="BF25" s="29"/>
      <c r="BG25" s="105"/>
    </row>
    <row r="26" spans="1:59" ht="24.95" customHeight="1" x14ac:dyDescent="0.2">
      <c r="A26" s="98" t="s">
        <v>201</v>
      </c>
      <c r="B26" s="106"/>
      <c r="C26" s="31"/>
      <c r="D26" s="21" t="s">
        <v>14</v>
      </c>
      <c r="E26" s="12">
        <v>0</v>
      </c>
      <c r="F26" s="82"/>
      <c r="G26" s="82"/>
      <c r="H26" s="38" t="s">
        <v>58</v>
      </c>
      <c r="I26" s="21" t="str">
        <f>IF(ISBLANK(AD86),"TBD",AD86)</f>
        <v>TBD</v>
      </c>
      <c r="J26" s="68" t="s">
        <v>28</v>
      </c>
      <c r="K26" s="72"/>
      <c r="L26" s="103"/>
      <c r="M26" s="112"/>
      <c r="N26" s="63" t="str">
        <f t="shared" si="0"/>
        <v>Participant #10</v>
      </c>
      <c r="O26" s="63" t="str">
        <f t="shared" si="1"/>
        <v/>
      </c>
      <c r="P26" s="114"/>
      <c r="Q26" s="8" t="str" cm="1">
        <f t="array" ref="Q26">IFERROR(INDEX($N$17:$N$64,SMALL($O$17:$O$64,ROW(B15))),"-")</f>
        <v>-</v>
      </c>
      <c r="R26" s="10"/>
      <c r="S26" s="111"/>
      <c r="T26" s="72"/>
      <c r="U26" s="111"/>
      <c r="V26" s="117"/>
      <c r="W26" s="8" t="str">
        <f>IF(ISBLANK($R$37),"F1",$R$37)</f>
        <v>F1</v>
      </c>
      <c r="X26" s="42"/>
      <c r="Y26" s="111"/>
      <c r="Z26" s="72"/>
      <c r="AA26" s="111"/>
      <c r="AB26" s="117"/>
      <c r="AC26" s="8" t="str">
        <f>IF(ISBLANK($X$37),"R1",$X$37)</f>
        <v>R1</v>
      </c>
      <c r="AD26" s="42"/>
      <c r="AE26" s="111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103"/>
      <c r="AY26" s="72"/>
      <c r="AZ26" s="123"/>
      <c r="BA26" s="124"/>
      <c r="BB26" s="124"/>
      <c r="BC26" s="124"/>
      <c r="BD26" s="124"/>
      <c r="BE26" s="125"/>
      <c r="BF26" s="29"/>
      <c r="BG26" s="105"/>
    </row>
    <row r="27" spans="1:59" ht="24.95" customHeight="1" x14ac:dyDescent="0.2">
      <c r="A27" s="98" t="s">
        <v>202</v>
      </c>
      <c r="B27" s="106"/>
      <c r="C27" s="31"/>
      <c r="D27" s="21" t="s">
        <v>15</v>
      </c>
      <c r="E27" s="12">
        <v>0</v>
      </c>
      <c r="F27" s="82"/>
      <c r="G27" s="82"/>
      <c r="H27" s="38" t="s">
        <v>58</v>
      </c>
      <c r="I27" s="21" t="str">
        <f>IF(ISBLANK($AJ$81),"TBD",$AJ$81)</f>
        <v>TBD</v>
      </c>
      <c r="J27" s="68" t="s">
        <v>159</v>
      </c>
      <c r="K27" s="72"/>
      <c r="L27" s="103"/>
      <c r="M27" s="112"/>
      <c r="N27" s="63" t="str">
        <f t="shared" si="0"/>
        <v>Participant #11</v>
      </c>
      <c r="O27" s="63" t="str">
        <f t="shared" si="1"/>
        <v/>
      </c>
      <c r="P27" s="114"/>
      <c r="Q27" s="8" t="str" cm="1">
        <f t="array" ref="Q27">IFERROR(INDEX($N$17:$N$64,SMALL($O$17:$O$64,ROW(B27))),"-")</f>
        <v>-</v>
      </c>
      <c r="R27" s="4"/>
      <c r="S27" s="111"/>
      <c r="T27" s="72"/>
      <c r="U27" s="111"/>
      <c r="V27" s="117"/>
      <c r="W27" s="8" t="str">
        <f>IF(ISBLANK($R$42),"G2",$R$42)</f>
        <v>G2</v>
      </c>
      <c r="X27" s="74"/>
      <c r="Y27" s="111"/>
      <c r="Z27" s="72"/>
      <c r="AA27" s="111"/>
      <c r="AB27" s="117"/>
      <c r="AC27" s="8" t="str">
        <f>IF(ISBLANK($X$18),"M2",$X$18)</f>
        <v>M2</v>
      </c>
      <c r="AD27" s="74"/>
      <c r="AE27" s="111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103"/>
      <c r="AY27" s="72"/>
      <c r="AZ27" s="126"/>
      <c r="BA27" s="127"/>
      <c r="BB27" s="127"/>
      <c r="BC27" s="127"/>
      <c r="BD27" s="127"/>
      <c r="BE27" s="128"/>
      <c r="BF27" s="29"/>
      <c r="BG27" s="105"/>
    </row>
    <row r="28" spans="1:59" ht="24.95" customHeight="1" x14ac:dyDescent="0.2">
      <c r="A28" s="98" t="s">
        <v>203</v>
      </c>
      <c r="B28" s="106"/>
      <c r="C28" s="31"/>
      <c r="D28" s="21" t="s">
        <v>16</v>
      </c>
      <c r="E28" s="12">
        <v>0</v>
      </c>
      <c r="F28" s="82"/>
      <c r="G28" s="82"/>
      <c r="H28" s="38" t="s">
        <v>58</v>
      </c>
      <c r="I28" s="21" t="str">
        <f>IF(ISBLANK($AJ$85),"TBD",$AJ$85)</f>
        <v>TBD</v>
      </c>
      <c r="J28" s="68" t="s">
        <v>159</v>
      </c>
      <c r="K28" s="72"/>
      <c r="L28" s="103"/>
      <c r="M28" s="112"/>
      <c r="N28" s="63" t="str">
        <f t="shared" si="0"/>
        <v>Participant #12</v>
      </c>
      <c r="O28" s="63" t="str">
        <f t="shared" si="1"/>
        <v/>
      </c>
      <c r="P28" s="115"/>
      <c r="Q28" s="9" t="str" cm="1">
        <f t="array" ref="Q28">IFERROR(INDEX($N$17:$N$64,SMALL($O$17:$O$64,ROW(B39))),"-")</f>
        <v>-</v>
      </c>
      <c r="R28" s="5"/>
      <c r="S28" s="111"/>
      <c r="T28" s="72"/>
      <c r="U28" s="111"/>
      <c r="V28" s="118"/>
      <c r="W28" s="8" t="str">
        <f>IF(ISBLANK($R$46),"H2",$R$46)</f>
        <v>H2</v>
      </c>
      <c r="X28" s="43"/>
      <c r="Y28" s="111"/>
      <c r="Z28" s="72"/>
      <c r="AA28" s="119"/>
      <c r="AB28" s="118"/>
      <c r="AC28" s="9" t="str">
        <f>IF(ISBLANK($X$22),"N2",$X$22)</f>
        <v>N2</v>
      </c>
      <c r="AD28" s="43"/>
      <c r="AE28" s="119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103"/>
      <c r="AY28" s="72"/>
      <c r="AZ28" s="109"/>
      <c r="BA28" s="107"/>
      <c r="BB28" s="107"/>
      <c r="BC28" s="107"/>
      <c r="BD28" s="107"/>
      <c r="BE28" s="108"/>
      <c r="BF28" s="29"/>
      <c r="BG28" s="105"/>
    </row>
    <row r="29" spans="1:59" ht="24.95" customHeight="1" x14ac:dyDescent="0.3">
      <c r="A29" s="98" t="s">
        <v>204</v>
      </c>
      <c r="B29" s="106"/>
      <c r="C29" s="31"/>
      <c r="D29" s="21" t="s">
        <v>17</v>
      </c>
      <c r="E29" s="12">
        <v>0</v>
      </c>
      <c r="F29" s="82"/>
      <c r="G29" s="82"/>
      <c r="H29" s="38" t="s">
        <v>58</v>
      </c>
      <c r="I29" s="21" t="str">
        <f>IF(ISBLANK($AJ$89),"TBD",$AJ$89)</f>
        <v>TBD</v>
      </c>
      <c r="J29" s="68" t="s">
        <v>159</v>
      </c>
      <c r="K29" s="72"/>
      <c r="L29" s="103"/>
      <c r="M29" s="112"/>
      <c r="N29" s="63" t="str">
        <f t="shared" si="0"/>
        <v>Participant #13</v>
      </c>
      <c r="O29" s="63" t="str">
        <f t="shared" si="1"/>
        <v/>
      </c>
      <c r="P29" s="159" t="s">
        <v>35</v>
      </c>
      <c r="Q29" s="7" t="str" cm="1">
        <f t="array" ref="Q29">IFERROR(INDEX($N$17:$N$64,SMALL($O$17:$O$64,ROW(B4))),"-")</f>
        <v>-</v>
      </c>
      <c r="R29" s="3"/>
      <c r="S29" s="111"/>
      <c r="T29" s="72"/>
      <c r="U29" s="111"/>
      <c r="V29" s="116" t="s">
        <v>112</v>
      </c>
      <c r="W29" s="7" t="str">
        <f>IF(ISBLANK($R$41),"G1",$R$41)</f>
        <v>G1</v>
      </c>
      <c r="X29" s="41"/>
      <c r="Y29" s="111"/>
      <c r="Z29" s="72"/>
      <c r="AA29" s="109"/>
      <c r="AB29" s="107"/>
      <c r="AC29" s="107"/>
      <c r="AD29" s="107"/>
      <c r="AE29" s="108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103"/>
      <c r="AY29" s="72"/>
      <c r="AZ29" s="110"/>
      <c r="BA29" s="2">
        <v>6</v>
      </c>
      <c r="BB29" s="49" t="s">
        <v>29</v>
      </c>
      <c r="BC29" s="49"/>
      <c r="BD29" s="50"/>
      <c r="BE29" s="110"/>
      <c r="BF29" s="29"/>
      <c r="BG29" s="105"/>
    </row>
    <row r="30" spans="1:59" ht="24.95" customHeight="1" x14ac:dyDescent="0.2">
      <c r="A30" s="98" t="s">
        <v>205</v>
      </c>
      <c r="B30" s="106"/>
      <c r="C30" s="31"/>
      <c r="D30" s="21" t="s">
        <v>18</v>
      </c>
      <c r="E30" s="12">
        <v>0</v>
      </c>
      <c r="F30" s="82"/>
      <c r="G30" s="82"/>
      <c r="H30" s="38" t="s">
        <v>58</v>
      </c>
      <c r="I30" s="21" t="str">
        <f>IF(ISBLANK($AJ$82),"TBD",$AJ$82)</f>
        <v>TBD</v>
      </c>
      <c r="J30" s="68" t="s">
        <v>158</v>
      </c>
      <c r="K30" s="72"/>
      <c r="L30" s="103"/>
      <c r="M30" s="112"/>
      <c r="N30" s="63" t="str">
        <f t="shared" si="0"/>
        <v>Participant #14</v>
      </c>
      <c r="O30" s="63" t="str">
        <f t="shared" si="1"/>
        <v/>
      </c>
      <c r="P30" s="114"/>
      <c r="Q30" s="8" t="str" cm="1">
        <f t="array" ref="Q30">IFERROR(INDEX($N$17:$N$64,SMALL($O$17:$O$64,ROW(B16))),"-")</f>
        <v>-</v>
      </c>
      <c r="R30" s="10"/>
      <c r="S30" s="111"/>
      <c r="T30" s="72"/>
      <c r="U30" s="111"/>
      <c r="V30" s="117"/>
      <c r="W30" s="8" t="str">
        <f>IF(ISBLANK($R$45),"H1",$R$45)</f>
        <v>H1</v>
      </c>
      <c r="X30" s="42"/>
      <c r="Y30" s="111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103"/>
      <c r="AY30" s="72"/>
      <c r="AZ30" s="111"/>
      <c r="BA30" s="1" t="s">
        <v>30</v>
      </c>
      <c r="BB30" s="11" t="s">
        <v>1</v>
      </c>
      <c r="BC30" s="11" t="s">
        <v>31</v>
      </c>
      <c r="BD30" s="1" t="s">
        <v>57</v>
      </c>
      <c r="BE30" s="111"/>
      <c r="BF30" s="29"/>
      <c r="BG30" s="105"/>
    </row>
    <row r="31" spans="1:59" ht="24.95" customHeight="1" x14ac:dyDescent="0.25">
      <c r="A31" s="98" t="s">
        <v>206</v>
      </c>
      <c r="B31" s="106"/>
      <c r="C31" s="31"/>
      <c r="D31" s="21" t="s">
        <v>100</v>
      </c>
      <c r="E31" s="12">
        <v>0</v>
      </c>
      <c r="F31" s="82"/>
      <c r="G31" s="82"/>
      <c r="H31" s="38" t="s">
        <v>58</v>
      </c>
      <c r="I31" s="21" t="str">
        <f>IF(ISBLANK($AJ$86),"TBD",$AJ$86)</f>
        <v>TBD</v>
      </c>
      <c r="J31" s="68" t="s">
        <v>158</v>
      </c>
      <c r="K31" s="84"/>
      <c r="L31" s="103"/>
      <c r="M31" s="112"/>
      <c r="N31" s="63" t="str">
        <f t="shared" si="0"/>
        <v>Participant #15</v>
      </c>
      <c r="O31" s="63" t="str">
        <f t="shared" si="1"/>
        <v/>
      </c>
      <c r="P31" s="114"/>
      <c r="Q31" s="8" t="str" cm="1">
        <f t="array" ref="Q31">IFERROR(INDEX($N$17:$N$64,SMALL($O$17:$O$64,ROW(B28))),"-")</f>
        <v>-</v>
      </c>
      <c r="R31" s="4"/>
      <c r="S31" s="111"/>
      <c r="T31" s="72"/>
      <c r="U31" s="111"/>
      <c r="V31" s="117"/>
      <c r="W31" s="8" t="str">
        <f>IF(ISBLANK($R$34),"E2",$R$34)</f>
        <v>E2</v>
      </c>
      <c r="X31" s="74"/>
      <c r="Y31" s="111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103"/>
      <c r="AY31" s="72"/>
      <c r="AZ31" s="111"/>
      <c r="BA31" s="116" t="s">
        <v>54</v>
      </c>
      <c r="BB31" s="15" t="str">
        <f>IF(ISBLANK($AV$81),"LF3",$AV$81)</f>
        <v>LF3</v>
      </c>
      <c r="BC31" s="18"/>
      <c r="BD31" s="32">
        <v>0</v>
      </c>
      <c r="BE31" s="111"/>
      <c r="BF31" s="29"/>
      <c r="BG31" s="105"/>
    </row>
    <row r="32" spans="1:59" ht="24.95" customHeight="1" x14ac:dyDescent="0.25">
      <c r="A32" s="98" t="s">
        <v>207</v>
      </c>
      <c r="B32" s="106"/>
      <c r="C32" s="31"/>
      <c r="D32" s="21" t="s">
        <v>101</v>
      </c>
      <c r="E32" s="12">
        <v>0</v>
      </c>
      <c r="F32" s="82"/>
      <c r="G32" s="82"/>
      <c r="H32" s="38" t="s">
        <v>58</v>
      </c>
      <c r="I32" s="21" t="str">
        <f>IF(ISBLANK($AJ$90),"TBD",$AJ$90)</f>
        <v>TBD</v>
      </c>
      <c r="J32" s="68" t="s">
        <v>158</v>
      </c>
      <c r="K32" s="84"/>
      <c r="L32" s="103"/>
      <c r="M32" s="112"/>
      <c r="N32" s="63" t="str">
        <f t="shared" si="0"/>
        <v>Participant #16</v>
      </c>
      <c r="O32" s="63" t="str">
        <f t="shared" si="1"/>
        <v/>
      </c>
      <c r="P32" s="115"/>
      <c r="Q32" s="9" t="str" cm="1">
        <f t="array" ref="Q32">IFERROR(INDEX($N$17:$N$64,SMALL($O$17:$O$64,ROW(B40))),"-")</f>
        <v>-</v>
      </c>
      <c r="R32" s="5"/>
      <c r="S32" s="111"/>
      <c r="T32" s="72"/>
      <c r="U32" s="111"/>
      <c r="V32" s="118"/>
      <c r="W32" s="9" t="str">
        <f>IF(ISBLANK($R$38),"F2",$R$38)</f>
        <v>F2</v>
      </c>
      <c r="X32" s="74"/>
      <c r="Y32" s="111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103"/>
      <c r="AY32" s="72"/>
      <c r="AZ32" s="111"/>
      <c r="BA32" s="117"/>
      <c r="BB32" s="16" t="str">
        <f>IF(ISBLANK($AV$82),"LF4",$AV$82)</f>
        <v>LF4</v>
      </c>
      <c r="BC32" s="19"/>
      <c r="BD32" s="33">
        <v>0</v>
      </c>
      <c r="BE32" s="111"/>
      <c r="BF32" s="29"/>
      <c r="BG32" s="105"/>
    </row>
    <row r="33" spans="1:59" ht="24.95" customHeight="1" x14ac:dyDescent="0.25">
      <c r="A33" s="98" t="s">
        <v>62</v>
      </c>
      <c r="B33" s="106"/>
      <c r="C33" s="31"/>
      <c r="D33" s="21" t="s">
        <v>102</v>
      </c>
      <c r="E33" s="12">
        <v>0</v>
      </c>
      <c r="F33" s="82"/>
      <c r="G33" s="82"/>
      <c r="H33" s="38" t="s">
        <v>58</v>
      </c>
      <c r="I33" s="21" t="str">
        <f>IF(ISBLANK($AD$81),"TBD",$AD$81)</f>
        <v>TBD</v>
      </c>
      <c r="J33" s="68" t="s">
        <v>157</v>
      </c>
      <c r="K33" s="84"/>
      <c r="L33" s="103"/>
      <c r="M33" s="112"/>
      <c r="N33" s="63" t="str">
        <f t="shared" si="0"/>
        <v>Participant #17</v>
      </c>
      <c r="O33" s="63" t="str">
        <f t="shared" si="1"/>
        <v/>
      </c>
      <c r="P33" s="159" t="s">
        <v>37</v>
      </c>
      <c r="Q33" s="7" t="str" cm="1">
        <f t="array" ref="Q33">IFERROR(INDEX($N$17:$N$64,SMALL($O$17:$O$64,ROW(B5))),"-")</f>
        <v>-</v>
      </c>
      <c r="R33" s="3"/>
      <c r="S33" s="111"/>
      <c r="T33" s="72"/>
      <c r="U33" s="111"/>
      <c r="V33" s="116" t="s">
        <v>113</v>
      </c>
      <c r="W33" s="8" t="str">
        <f>IF(ISBLANK($R$49),"I1",$R$49)</f>
        <v>I1</v>
      </c>
      <c r="X33" s="41"/>
      <c r="Y33" s="111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103"/>
      <c r="AY33" s="72"/>
      <c r="AZ33" s="111"/>
      <c r="BA33" s="117"/>
      <c r="BB33" s="16" t="str">
        <f>IF(ISBLANK($AP$80),"AR3",$AP$80)</f>
        <v>AR3</v>
      </c>
      <c r="BC33" s="20"/>
      <c r="BD33" s="34">
        <v>0</v>
      </c>
      <c r="BE33" s="111"/>
      <c r="BF33" s="29"/>
      <c r="BG33" s="105"/>
    </row>
    <row r="34" spans="1:59" ht="24.95" customHeight="1" x14ac:dyDescent="0.25">
      <c r="A34" s="98" t="s">
        <v>85</v>
      </c>
      <c r="B34" s="106"/>
      <c r="C34" s="31"/>
      <c r="D34" s="21" t="s">
        <v>103</v>
      </c>
      <c r="E34" s="12">
        <v>0</v>
      </c>
      <c r="F34" s="82"/>
      <c r="G34" s="82"/>
      <c r="H34" s="38" t="s">
        <v>58</v>
      </c>
      <c r="I34" s="21" t="str">
        <f>IF(ISBLANK($AD$85),"TBD",$AD$85)</f>
        <v>TBD</v>
      </c>
      <c r="J34" s="68" t="s">
        <v>157</v>
      </c>
      <c r="K34" s="84"/>
      <c r="L34" s="103"/>
      <c r="M34" s="112"/>
      <c r="N34" s="63" t="str">
        <f t="shared" si="0"/>
        <v>Participant #18</v>
      </c>
      <c r="O34" s="63" t="str">
        <f t="shared" si="1"/>
        <v/>
      </c>
      <c r="P34" s="114"/>
      <c r="Q34" s="8" t="str" cm="1">
        <f t="array" ref="Q34">IFERROR(INDEX($N$17:$N$64,SMALL($O$17:$O$64,ROW(B17))),"-")</f>
        <v>-</v>
      </c>
      <c r="R34" s="10"/>
      <c r="S34" s="111"/>
      <c r="T34" s="72"/>
      <c r="U34" s="111"/>
      <c r="V34" s="117"/>
      <c r="W34" s="8" t="str">
        <f>IF(ISBLANK($R$53),"J1",$R$53)</f>
        <v>J1</v>
      </c>
      <c r="X34" s="42"/>
      <c r="Y34" s="111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103"/>
      <c r="AY34" s="72"/>
      <c r="AZ34" s="119"/>
      <c r="BA34" s="118"/>
      <c r="BB34" s="17" t="str">
        <f>IF(ISBLANK($AP$84),"AS3",$AP$84)</f>
        <v>AS3</v>
      </c>
      <c r="BC34" s="6"/>
      <c r="BD34" s="10">
        <v>0</v>
      </c>
      <c r="BE34" s="119"/>
      <c r="BF34" s="29"/>
      <c r="BG34" s="105"/>
    </row>
    <row r="35" spans="1:59" ht="24.95" customHeight="1" x14ac:dyDescent="0.25">
      <c r="A35" s="98" t="s">
        <v>208</v>
      </c>
      <c r="B35" s="106"/>
      <c r="C35" s="31"/>
      <c r="D35" s="21" t="s">
        <v>104</v>
      </c>
      <c r="E35" s="12">
        <v>0</v>
      </c>
      <c r="F35" s="82"/>
      <c r="G35" s="82"/>
      <c r="H35" s="38" t="s">
        <v>58</v>
      </c>
      <c r="I35" s="21" t="str">
        <f>IF(ISBLANK($AD$89),"TBD",$AD$89)</f>
        <v>TBD</v>
      </c>
      <c r="J35" s="68" t="s">
        <v>157</v>
      </c>
      <c r="K35" s="84"/>
      <c r="L35" s="103"/>
      <c r="M35" s="112"/>
      <c r="N35" s="63" t="str">
        <f t="shared" si="0"/>
        <v>Participant #19</v>
      </c>
      <c r="O35" s="63" t="str">
        <f t="shared" si="1"/>
        <v/>
      </c>
      <c r="P35" s="114"/>
      <c r="Q35" s="8" t="str" cm="1">
        <f t="array" ref="Q35">IFERROR(INDEX($N$17:$N$64,SMALL($O$17:$O$64,ROW(B29))),"-")</f>
        <v>-</v>
      </c>
      <c r="R35" s="4"/>
      <c r="S35" s="111"/>
      <c r="T35" s="72"/>
      <c r="U35" s="111"/>
      <c r="V35" s="117"/>
      <c r="W35" s="8" t="str">
        <f>IF(ISBLANK($R$26),"C2",$R$26)</f>
        <v>C2</v>
      </c>
      <c r="X35" s="74"/>
      <c r="Y35" s="111"/>
      <c r="Z35" s="85"/>
      <c r="AA35" s="85"/>
      <c r="AB35" s="85"/>
      <c r="AC35" s="85"/>
      <c r="AD35" s="85"/>
      <c r="AE35" s="85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103"/>
      <c r="AY35" s="72"/>
      <c r="AZ35" s="109"/>
      <c r="BA35" s="107"/>
      <c r="BB35" s="107"/>
      <c r="BC35" s="107"/>
      <c r="BD35" s="107"/>
      <c r="BE35" s="108"/>
      <c r="BF35" s="29"/>
      <c r="BG35" s="105"/>
    </row>
    <row r="36" spans="1:59" ht="24.95" customHeight="1" x14ac:dyDescent="0.25">
      <c r="A36" s="98" t="s">
        <v>209</v>
      </c>
      <c r="B36" s="106"/>
      <c r="C36" s="31"/>
      <c r="D36" s="21" t="s">
        <v>105</v>
      </c>
      <c r="E36" s="12">
        <v>0</v>
      </c>
      <c r="F36" s="82"/>
      <c r="G36" s="82"/>
      <c r="H36" s="38" t="s">
        <v>58</v>
      </c>
      <c r="I36" s="21" t="str">
        <f>IF(ISBLANK($AD$82),"TBD",$AD$82)</f>
        <v>TBD</v>
      </c>
      <c r="J36" s="68" t="s">
        <v>156</v>
      </c>
      <c r="K36" s="84"/>
      <c r="L36" s="103"/>
      <c r="M36" s="112"/>
      <c r="N36" s="63" t="str">
        <f t="shared" si="0"/>
        <v>Participant #20</v>
      </c>
      <c r="O36" s="63" t="str">
        <f t="shared" si="1"/>
        <v/>
      </c>
      <c r="P36" s="115"/>
      <c r="Q36" s="9" t="str" cm="1">
        <f t="array" ref="Q36">IFERROR(INDEX($N$17:$N$64,SMALL($O$17:$O$64,ROW(B41))),"-")</f>
        <v>-</v>
      </c>
      <c r="R36" s="5"/>
      <c r="S36" s="111"/>
      <c r="T36" s="72"/>
      <c r="U36" s="111"/>
      <c r="V36" s="118"/>
      <c r="W36" s="8" t="str">
        <f>IF(ISBLANK($R$30),"D2",$R$30)</f>
        <v>D2</v>
      </c>
      <c r="X36" s="43"/>
      <c r="Y36" s="111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103"/>
      <c r="AY36" s="72"/>
      <c r="AZ36" s="72"/>
      <c r="BA36" s="72"/>
      <c r="BB36" s="72"/>
      <c r="BC36" s="72"/>
      <c r="BD36" s="72"/>
      <c r="BE36" s="72"/>
      <c r="BF36" s="29"/>
      <c r="BG36" s="105"/>
    </row>
    <row r="37" spans="1:59" ht="24.95" customHeight="1" x14ac:dyDescent="0.25">
      <c r="A37" s="98" t="s">
        <v>210</v>
      </c>
      <c r="B37" s="106"/>
      <c r="C37" s="31"/>
      <c r="D37" s="21" t="s">
        <v>106</v>
      </c>
      <c r="E37" s="12">
        <v>0</v>
      </c>
      <c r="F37" s="82"/>
      <c r="G37" s="82"/>
      <c r="H37" s="38" t="s">
        <v>58</v>
      </c>
      <c r="I37" s="21" t="str">
        <f>IF(ISBLANK($AD$86),"TBD",$AD$86)</f>
        <v>TBD</v>
      </c>
      <c r="J37" s="68" t="s">
        <v>156</v>
      </c>
      <c r="K37" s="84"/>
      <c r="L37" s="103"/>
      <c r="M37" s="112"/>
      <c r="N37" s="63" t="str">
        <f t="shared" si="0"/>
        <v>Participant #21</v>
      </c>
      <c r="O37" s="63" t="str">
        <f t="shared" si="1"/>
        <v/>
      </c>
      <c r="P37" s="159" t="s">
        <v>38</v>
      </c>
      <c r="Q37" s="7" t="str" cm="1">
        <f t="array" ref="Q37">IFERROR(INDEX($N$17:$N$64,SMALL($O$17:$O$64,ROW(B6))),"-")</f>
        <v>-</v>
      </c>
      <c r="R37" s="3"/>
      <c r="S37" s="111"/>
      <c r="T37" s="72"/>
      <c r="U37" s="111"/>
      <c r="V37" s="116" t="s">
        <v>114</v>
      </c>
      <c r="W37" s="7" t="str">
        <f>IF(ISBLANK($R$57),"K1",$R$57)</f>
        <v>K1</v>
      </c>
      <c r="X37" s="41"/>
      <c r="Y37" s="111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103"/>
      <c r="AY37" s="72"/>
      <c r="AZ37" s="72"/>
      <c r="BA37" s="72"/>
      <c r="BB37" s="72"/>
      <c r="BC37" s="72"/>
      <c r="BD37" s="72"/>
      <c r="BE37" s="72"/>
      <c r="BF37" s="29"/>
      <c r="BG37" s="105"/>
    </row>
    <row r="38" spans="1:59" ht="24.95" customHeight="1" x14ac:dyDescent="0.25">
      <c r="A38" s="98" t="s">
        <v>211</v>
      </c>
      <c r="B38" s="106"/>
      <c r="C38" s="31"/>
      <c r="D38" s="21" t="s">
        <v>107</v>
      </c>
      <c r="E38" s="12">
        <v>0</v>
      </c>
      <c r="F38" s="82"/>
      <c r="G38" s="82"/>
      <c r="H38" s="38" t="s">
        <v>58</v>
      </c>
      <c r="I38" s="21" t="str">
        <f>IF(ISBLANK($AD$90),"TBD",$AD$90)</f>
        <v>TBD</v>
      </c>
      <c r="J38" s="68" t="s">
        <v>156</v>
      </c>
      <c r="K38" s="84"/>
      <c r="L38" s="103"/>
      <c r="M38" s="112"/>
      <c r="N38" s="63" t="str">
        <f t="shared" si="0"/>
        <v>Participant #22</v>
      </c>
      <c r="O38" s="63" t="str">
        <f t="shared" si="1"/>
        <v/>
      </c>
      <c r="P38" s="114"/>
      <c r="Q38" s="8" t="str" cm="1">
        <f t="array" ref="Q38">IFERROR(INDEX($N$17:$N$64,SMALL($O$17:$O$64,ROW(B18))),"-")</f>
        <v>-</v>
      </c>
      <c r="R38" s="10"/>
      <c r="S38" s="111"/>
      <c r="T38" s="72"/>
      <c r="U38" s="111"/>
      <c r="V38" s="117"/>
      <c r="W38" s="8" t="str">
        <f>IF(ISBLANK($R$61),"L1",$R$61)</f>
        <v>L1</v>
      </c>
      <c r="X38" s="42"/>
      <c r="Y38" s="111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3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103"/>
      <c r="AY38" s="72"/>
      <c r="AZ38" s="72"/>
      <c r="BA38" s="72"/>
      <c r="BB38" s="72"/>
      <c r="BC38" s="72"/>
      <c r="BD38" s="72"/>
      <c r="BE38" s="72"/>
      <c r="BF38" s="29"/>
      <c r="BG38" s="105"/>
    </row>
    <row r="39" spans="1:59" ht="24.95" customHeight="1" x14ac:dyDescent="0.25">
      <c r="A39" s="98" t="s">
        <v>212</v>
      </c>
      <c r="B39" s="106"/>
      <c r="C39" s="31"/>
      <c r="D39" s="21" t="s">
        <v>118</v>
      </c>
      <c r="E39" s="12">
        <v>0</v>
      </c>
      <c r="F39" s="82"/>
      <c r="G39" s="82"/>
      <c r="H39" s="38" t="s">
        <v>58</v>
      </c>
      <c r="I39" s="21" t="str">
        <f>IF(ISBLANK($X$81),"TBD",$X$81)</f>
        <v>TBD</v>
      </c>
      <c r="J39" s="68" t="s">
        <v>126</v>
      </c>
      <c r="K39" s="84"/>
      <c r="L39" s="103"/>
      <c r="M39" s="112"/>
      <c r="N39" s="63" t="str">
        <f t="shared" si="0"/>
        <v>Participant #23</v>
      </c>
      <c r="O39" s="63" t="str">
        <f t="shared" si="1"/>
        <v/>
      </c>
      <c r="P39" s="114"/>
      <c r="Q39" s="8" t="str" cm="1">
        <f t="array" ref="Q39">IFERROR(INDEX($N$17:$N$64,SMALL($O$17:$O$64,ROW(B30))),"-")</f>
        <v>-</v>
      </c>
      <c r="R39" s="4"/>
      <c r="S39" s="111"/>
      <c r="T39" s="72"/>
      <c r="U39" s="111"/>
      <c r="V39" s="117"/>
      <c r="W39" s="8" t="str">
        <f>IF(ISBLANK($R$18),"A2",$R$18)</f>
        <v>A2</v>
      </c>
      <c r="X39" s="74"/>
      <c r="Y39" s="111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103"/>
      <c r="AY39" s="72"/>
      <c r="AZ39" s="72"/>
      <c r="BA39" s="72"/>
      <c r="BB39" s="72"/>
      <c r="BC39" s="72"/>
      <c r="BD39" s="72"/>
      <c r="BE39" s="72"/>
      <c r="BF39" s="29"/>
      <c r="BG39" s="105"/>
    </row>
    <row r="40" spans="1:59" ht="24.95" customHeight="1" x14ac:dyDescent="0.25">
      <c r="A40" s="98" t="s">
        <v>213</v>
      </c>
      <c r="B40" s="106"/>
      <c r="C40" s="31"/>
      <c r="D40" s="21" t="s">
        <v>119</v>
      </c>
      <c r="E40" s="12">
        <v>0</v>
      </c>
      <c r="F40" s="82"/>
      <c r="G40" s="82"/>
      <c r="H40" s="38" t="s">
        <v>58</v>
      </c>
      <c r="I40" s="21" t="str">
        <f>IF(ISBLANK($X$85),"TBD",$X$85)</f>
        <v>TBD</v>
      </c>
      <c r="J40" s="68" t="s">
        <v>126</v>
      </c>
      <c r="K40" s="84"/>
      <c r="L40" s="103"/>
      <c r="M40" s="112"/>
      <c r="N40" s="63" t="str">
        <f t="shared" si="0"/>
        <v>Participant #24</v>
      </c>
      <c r="O40" s="63" t="str">
        <f t="shared" si="1"/>
        <v/>
      </c>
      <c r="P40" s="115"/>
      <c r="Q40" s="9" t="str" cm="1">
        <f t="array" ref="Q40">IFERROR(INDEX($N$17:$N$64,SMALL($O$17:$O$64,ROW(B42))),"-")</f>
        <v>-</v>
      </c>
      <c r="R40" s="4"/>
      <c r="S40" s="111"/>
      <c r="T40" s="72"/>
      <c r="U40" s="119"/>
      <c r="V40" s="118"/>
      <c r="W40" s="9" t="str">
        <f>IF(ISBLANK($R$22),"B2",$R$22)</f>
        <v>B2</v>
      </c>
      <c r="X40" s="74"/>
      <c r="Y40" s="119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103"/>
      <c r="AY40" s="72"/>
      <c r="AZ40" s="72"/>
      <c r="BA40" s="72"/>
      <c r="BB40" s="72"/>
      <c r="BC40" s="72"/>
      <c r="BD40" s="72"/>
      <c r="BE40" s="72"/>
      <c r="BF40" s="29"/>
      <c r="BG40" s="105"/>
    </row>
    <row r="41" spans="1:59" ht="24.95" customHeight="1" x14ac:dyDescent="0.25">
      <c r="A41" s="98" t="s">
        <v>94</v>
      </c>
      <c r="B41" s="106"/>
      <c r="C41" s="31"/>
      <c r="D41" s="21" t="s">
        <v>120</v>
      </c>
      <c r="E41" s="12">
        <v>0</v>
      </c>
      <c r="F41" s="82"/>
      <c r="G41" s="82"/>
      <c r="H41" s="38" t="s">
        <v>58</v>
      </c>
      <c r="I41" s="21" t="str">
        <f>IF(ISBLANK($X$89),"TBD",$X$89)</f>
        <v>TBD</v>
      </c>
      <c r="J41" s="68" t="s">
        <v>126</v>
      </c>
      <c r="K41" s="84"/>
      <c r="L41" s="103"/>
      <c r="M41" s="112"/>
      <c r="N41" s="63" t="str">
        <f t="shared" si="0"/>
        <v>Participant #25</v>
      </c>
      <c r="O41" s="23" t="str">
        <f t="shared" si="1"/>
        <v/>
      </c>
      <c r="P41" s="159" t="s">
        <v>44</v>
      </c>
      <c r="Q41" s="7" t="str" cm="1">
        <f t="array" ref="Q41">IFERROR(INDEX($N$17:$N$64,SMALL($O$17:$O$64,ROW(B7))),"-")</f>
        <v>-</v>
      </c>
      <c r="R41" s="3"/>
      <c r="S41" s="111"/>
      <c r="T41" s="72"/>
      <c r="U41" s="109"/>
      <c r="V41" s="107"/>
      <c r="W41" s="107"/>
      <c r="X41" s="107"/>
      <c r="Y41" s="108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103"/>
      <c r="AY41" s="72"/>
      <c r="AZ41" s="72"/>
      <c r="BA41" s="72"/>
      <c r="BB41" s="72"/>
      <c r="BC41" s="72"/>
      <c r="BD41" s="72"/>
      <c r="BE41" s="72"/>
      <c r="BF41" s="29"/>
      <c r="BG41" s="105"/>
    </row>
    <row r="42" spans="1:59" ht="24.95" customHeight="1" x14ac:dyDescent="0.25">
      <c r="A42" s="98" t="s">
        <v>73</v>
      </c>
      <c r="B42" s="106"/>
      <c r="C42" s="31"/>
      <c r="D42" s="21" t="s">
        <v>121</v>
      </c>
      <c r="E42" s="12">
        <v>0</v>
      </c>
      <c r="F42" s="82"/>
      <c r="G42" s="82"/>
      <c r="H42" s="38" t="s">
        <v>58</v>
      </c>
      <c r="I42" s="21" t="str">
        <f>IF(ISBLANK($X$93),"TBD",$X$93)</f>
        <v>TBD</v>
      </c>
      <c r="J42" s="68" t="s">
        <v>126</v>
      </c>
      <c r="K42" s="84"/>
      <c r="L42" s="103"/>
      <c r="M42" s="112"/>
      <c r="N42" s="63" t="str">
        <f t="shared" si="0"/>
        <v>Participant #26</v>
      </c>
      <c r="O42" s="63" t="str">
        <f t="shared" si="1"/>
        <v/>
      </c>
      <c r="P42" s="114"/>
      <c r="Q42" s="8" t="str" cm="1">
        <f t="array" ref="Q42">IFERROR(INDEX($N$17:$N$64,SMALL($O$17:$O$64,ROW(B19))),"-")</f>
        <v>-</v>
      </c>
      <c r="R42" s="10"/>
      <c r="S42" s="111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103"/>
      <c r="AY42" s="72"/>
      <c r="AZ42" s="72"/>
      <c r="BA42" s="72"/>
      <c r="BB42" s="72"/>
      <c r="BC42" s="72"/>
      <c r="BD42" s="72"/>
      <c r="BE42" s="72"/>
      <c r="BF42" s="29"/>
      <c r="BG42" s="105"/>
    </row>
    <row r="43" spans="1:59" ht="24.95" customHeight="1" x14ac:dyDescent="0.25">
      <c r="A43" s="98" t="s">
        <v>75</v>
      </c>
      <c r="B43" s="106"/>
      <c r="C43" s="31"/>
      <c r="D43" s="21" t="s">
        <v>122</v>
      </c>
      <c r="E43" s="12">
        <v>0</v>
      </c>
      <c r="F43" s="82"/>
      <c r="G43" s="82"/>
      <c r="H43" s="38" t="s">
        <v>58</v>
      </c>
      <c r="I43" s="21" t="str">
        <f>IF(ISBLANK($X$97),"TBD",$X$97)</f>
        <v>TBD</v>
      </c>
      <c r="J43" s="68" t="s">
        <v>126</v>
      </c>
      <c r="K43" s="84"/>
      <c r="L43" s="103"/>
      <c r="M43" s="112"/>
      <c r="N43" s="63" t="str">
        <f t="shared" si="0"/>
        <v>Participant #27</v>
      </c>
      <c r="O43" s="63" t="str">
        <f t="shared" si="1"/>
        <v/>
      </c>
      <c r="P43" s="114"/>
      <c r="Q43" s="8" t="str" cm="1">
        <f t="array" ref="Q43">IFERROR(INDEX($N$17:$N$64,SMALL($O$17:$O$64,ROW(B31))),"-")</f>
        <v>-</v>
      </c>
      <c r="R43" s="4"/>
      <c r="S43" s="111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103"/>
      <c r="AY43" s="72"/>
      <c r="AZ43" s="72"/>
      <c r="BA43" s="72"/>
      <c r="BB43" s="72"/>
      <c r="BC43" s="72"/>
      <c r="BD43" s="72"/>
      <c r="BE43" s="72"/>
      <c r="BF43" s="29"/>
      <c r="BG43" s="105"/>
    </row>
    <row r="44" spans="1:59" ht="24.95" customHeight="1" x14ac:dyDescent="0.25">
      <c r="A44" s="98" t="s">
        <v>82</v>
      </c>
      <c r="B44" s="106"/>
      <c r="C44" s="31"/>
      <c r="D44" s="21" t="s">
        <v>123</v>
      </c>
      <c r="E44" s="12">
        <v>0</v>
      </c>
      <c r="F44" s="82"/>
      <c r="G44" s="82"/>
      <c r="H44" s="38" t="s">
        <v>58</v>
      </c>
      <c r="I44" s="21" t="str">
        <f>IF(ISBLANK($X$101),"TBD",$X$101)</f>
        <v>TBD</v>
      </c>
      <c r="J44" s="68" t="s">
        <v>126</v>
      </c>
      <c r="K44" s="84"/>
      <c r="L44" s="103"/>
      <c r="M44" s="112"/>
      <c r="N44" s="63" t="str">
        <f t="shared" si="0"/>
        <v>Participant #28</v>
      </c>
      <c r="O44" s="63" t="str">
        <f t="shared" si="1"/>
        <v/>
      </c>
      <c r="P44" s="115"/>
      <c r="Q44" s="9" t="str" cm="1">
        <f t="array" ref="Q44">IFERROR(INDEX($N$17:$N$64,SMALL($O$17:$O$64,ROW(B43))),"-")</f>
        <v>-</v>
      </c>
      <c r="R44" s="5"/>
      <c r="S44" s="111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103"/>
      <c r="AY44" s="72"/>
      <c r="AZ44" s="72"/>
      <c r="BA44" s="72"/>
      <c r="BB44" s="72"/>
      <c r="BC44" s="72"/>
      <c r="BD44" s="72"/>
      <c r="BE44" s="72"/>
      <c r="BF44" s="29"/>
      <c r="BG44" s="105"/>
    </row>
    <row r="45" spans="1:59" ht="24.95" customHeight="1" x14ac:dyDescent="0.25">
      <c r="A45" s="98" t="s">
        <v>81</v>
      </c>
      <c r="B45" s="106"/>
      <c r="C45" s="31"/>
      <c r="D45" s="21" t="s">
        <v>124</v>
      </c>
      <c r="E45" s="12">
        <v>0</v>
      </c>
      <c r="F45" s="82"/>
      <c r="G45" s="82"/>
      <c r="H45" s="38" t="s">
        <v>58</v>
      </c>
      <c r="I45" s="21" t="str">
        <f>IF(ISBLANK($X$82),"TBD",$X$82)</f>
        <v>TBD</v>
      </c>
      <c r="J45" s="68" t="s">
        <v>155</v>
      </c>
      <c r="K45" s="84"/>
      <c r="L45" s="103"/>
      <c r="M45" s="112"/>
      <c r="N45" s="63" t="str">
        <f t="shared" si="0"/>
        <v>Participant #29</v>
      </c>
      <c r="O45" s="63" t="str">
        <f t="shared" si="1"/>
        <v/>
      </c>
      <c r="P45" s="159" t="s">
        <v>45</v>
      </c>
      <c r="Q45" s="7" t="str" cm="1">
        <f t="array" ref="Q45">IFERROR(INDEX($N$17:$N$64,SMALL($O$17:$O$64,ROW(B8))),"-")</f>
        <v>-</v>
      </c>
      <c r="R45" s="3"/>
      <c r="S45" s="111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103"/>
      <c r="AY45" s="72"/>
      <c r="AZ45" s="72"/>
      <c r="BA45" s="72"/>
      <c r="BB45" s="72"/>
      <c r="BC45" s="72"/>
      <c r="BD45" s="72"/>
      <c r="BE45" s="72"/>
      <c r="BF45" s="29"/>
      <c r="BG45" s="105"/>
    </row>
    <row r="46" spans="1:59" ht="24.95" customHeight="1" x14ac:dyDescent="0.25">
      <c r="A46" s="98" t="s">
        <v>88</v>
      </c>
      <c r="B46" s="106"/>
      <c r="C46" s="31"/>
      <c r="D46" s="21" t="s">
        <v>125</v>
      </c>
      <c r="E46" s="12">
        <v>0</v>
      </c>
      <c r="F46" s="82"/>
      <c r="G46" s="82"/>
      <c r="H46" s="38" t="s">
        <v>58</v>
      </c>
      <c r="I46" s="21" t="str">
        <f>IF(ISBLANK($X$86),"TBD",$X$86)</f>
        <v>TBD</v>
      </c>
      <c r="J46" s="68" t="s">
        <v>155</v>
      </c>
      <c r="K46" s="84"/>
      <c r="L46" s="103"/>
      <c r="M46" s="112"/>
      <c r="N46" s="63" t="str">
        <f t="shared" si="0"/>
        <v>Participant #30</v>
      </c>
      <c r="O46" s="63" t="str">
        <f t="shared" si="1"/>
        <v/>
      </c>
      <c r="P46" s="114"/>
      <c r="Q46" s="8" t="str" cm="1">
        <f t="array" ref="Q46">IFERROR(INDEX($N$17:$N$64,SMALL($O$17:$O$64,ROW(B20))),"-")</f>
        <v>-</v>
      </c>
      <c r="R46" s="10"/>
      <c r="S46" s="111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103"/>
      <c r="AY46" s="72"/>
      <c r="AZ46" s="72"/>
      <c r="BA46" s="72"/>
      <c r="BB46" s="72"/>
      <c r="BC46" s="72"/>
      <c r="BD46" s="72"/>
      <c r="BE46" s="72"/>
      <c r="BF46" s="29"/>
      <c r="BG46" s="105"/>
    </row>
    <row r="47" spans="1:59" ht="24.95" customHeight="1" x14ac:dyDescent="0.25">
      <c r="A47" s="98" t="s">
        <v>214</v>
      </c>
      <c r="B47" s="106"/>
      <c r="C47" s="31"/>
      <c r="D47" s="21" t="s">
        <v>137</v>
      </c>
      <c r="E47" s="12">
        <v>0</v>
      </c>
      <c r="F47" s="82"/>
      <c r="G47" s="82"/>
      <c r="H47" s="38" t="s">
        <v>58</v>
      </c>
      <c r="I47" s="21" t="str">
        <f>IF(ISBLANK($X$90),"TBD",$X$90)</f>
        <v>TBD</v>
      </c>
      <c r="J47" s="68" t="s">
        <v>155</v>
      </c>
      <c r="K47" s="84"/>
      <c r="L47" s="103"/>
      <c r="M47" s="112"/>
      <c r="N47" s="63" t="str">
        <f t="shared" si="0"/>
        <v>Participant #31</v>
      </c>
      <c r="O47" s="63" t="str">
        <f t="shared" si="1"/>
        <v/>
      </c>
      <c r="P47" s="114"/>
      <c r="Q47" s="8" t="str" cm="1">
        <f t="array" ref="Q47">IFERROR(INDEX($N$17:$N$64,SMALL($O$17:$O$64,ROW(B32))),"-")</f>
        <v>-</v>
      </c>
      <c r="R47" s="4"/>
      <c r="S47" s="111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103"/>
      <c r="AY47" s="72"/>
      <c r="AZ47" s="72"/>
      <c r="BA47" s="72"/>
      <c r="BB47" s="72"/>
      <c r="BC47" s="72"/>
      <c r="BD47" s="72"/>
      <c r="BE47" s="72"/>
      <c r="BF47" s="29"/>
      <c r="BG47" s="105"/>
    </row>
    <row r="48" spans="1:59" ht="24.95" customHeight="1" x14ac:dyDescent="0.25">
      <c r="A48" s="98" t="s">
        <v>84</v>
      </c>
      <c r="B48" s="106"/>
      <c r="C48" s="31"/>
      <c r="D48" s="21" t="s">
        <v>138</v>
      </c>
      <c r="E48" s="12">
        <v>0</v>
      </c>
      <c r="F48" s="82"/>
      <c r="G48" s="82"/>
      <c r="H48" s="38" t="s">
        <v>58</v>
      </c>
      <c r="I48" s="21" t="str">
        <f>IF(ISBLANK($X$94),"TBD",$X$94)</f>
        <v>TBD</v>
      </c>
      <c r="J48" s="68" t="s">
        <v>155</v>
      </c>
      <c r="K48" s="84"/>
      <c r="L48" s="103"/>
      <c r="M48" s="112"/>
      <c r="N48" s="63" t="str">
        <f t="shared" si="0"/>
        <v>Participant #32</v>
      </c>
      <c r="O48" s="63" t="str">
        <f t="shared" si="1"/>
        <v/>
      </c>
      <c r="P48" s="115"/>
      <c r="Q48" s="9" t="str" cm="1">
        <f t="array" ref="Q48">IFERROR(INDEX($N$17:$N$64,SMALL($O$17:$O$64,ROW(B44))),"-")</f>
        <v>-</v>
      </c>
      <c r="R48" s="4"/>
      <c r="S48" s="111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103"/>
      <c r="AY48" s="72"/>
      <c r="AZ48" s="72"/>
      <c r="BA48" s="72"/>
      <c r="BB48" s="72"/>
      <c r="BC48" s="72"/>
      <c r="BD48" s="72"/>
      <c r="BE48" s="72"/>
      <c r="BF48" s="29"/>
      <c r="BG48" s="105"/>
    </row>
    <row r="49" spans="1:59" ht="24.95" customHeight="1" x14ac:dyDescent="0.25">
      <c r="A49" s="98" t="s">
        <v>59</v>
      </c>
      <c r="B49" s="106"/>
      <c r="C49" s="31"/>
      <c r="D49" s="21" t="s">
        <v>139</v>
      </c>
      <c r="E49" s="12">
        <v>0</v>
      </c>
      <c r="F49" s="82"/>
      <c r="G49" s="82"/>
      <c r="H49" s="38" t="s">
        <v>58</v>
      </c>
      <c r="I49" s="21" t="str">
        <f>IF(ISBLANK($X$98),"TBD",$X$98)</f>
        <v>TBD</v>
      </c>
      <c r="J49" s="68" t="s">
        <v>155</v>
      </c>
      <c r="K49" s="84"/>
      <c r="L49" s="103"/>
      <c r="M49" s="112"/>
      <c r="N49" s="63" t="str">
        <f t="shared" si="0"/>
        <v>Participant #33</v>
      </c>
      <c r="O49" s="63" t="str">
        <f t="shared" si="1"/>
        <v/>
      </c>
      <c r="P49" s="159" t="s">
        <v>48</v>
      </c>
      <c r="Q49" s="7" t="str" cm="1">
        <f t="array" ref="Q49">IFERROR(INDEX($N$17:$N$64,SMALL($O$17:$O$64,ROW(B9))),"-")</f>
        <v>-</v>
      </c>
      <c r="R49" s="3"/>
      <c r="S49" s="111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103"/>
      <c r="AY49" s="72"/>
      <c r="AZ49" s="72"/>
      <c r="BA49" s="72"/>
      <c r="BB49" s="72"/>
      <c r="BC49" s="72"/>
      <c r="BD49" s="72"/>
      <c r="BE49" s="72"/>
      <c r="BF49" s="29"/>
      <c r="BG49" s="105"/>
    </row>
    <row r="50" spans="1:59" ht="24.95" customHeight="1" x14ac:dyDescent="0.2">
      <c r="A50" s="98" t="s">
        <v>91</v>
      </c>
      <c r="B50" s="106"/>
      <c r="C50" s="30"/>
      <c r="D50" s="21" t="s">
        <v>140</v>
      </c>
      <c r="E50" s="12">
        <v>0</v>
      </c>
      <c r="F50" s="82"/>
      <c r="G50" s="81"/>
      <c r="H50" s="38" t="s">
        <v>58</v>
      </c>
      <c r="I50" s="21" t="str">
        <f>IF(ISBLANK($X$102),"TBD",$X$102)</f>
        <v>TBD</v>
      </c>
      <c r="J50" s="68" t="s">
        <v>155</v>
      </c>
      <c r="K50" s="72"/>
      <c r="L50" s="103"/>
      <c r="M50" s="112"/>
      <c r="N50" s="63" t="str">
        <f t="shared" si="0"/>
        <v>Participant #34</v>
      </c>
      <c r="O50" s="63" t="str">
        <f t="shared" si="1"/>
        <v/>
      </c>
      <c r="P50" s="114"/>
      <c r="Q50" s="8" t="str" cm="1">
        <f t="array" ref="Q50">IFERROR(INDEX($N$17:$N$64,SMALL($O$17:$O$64,ROW(B21))),"-")</f>
        <v>-</v>
      </c>
      <c r="R50" s="10"/>
      <c r="S50" s="111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103"/>
      <c r="AY50" s="72"/>
      <c r="AZ50" s="72"/>
      <c r="BA50" s="72"/>
      <c r="BB50" s="72"/>
      <c r="BC50" s="72"/>
      <c r="BD50" s="72"/>
      <c r="BE50" s="72"/>
      <c r="BF50" s="29"/>
      <c r="BG50" s="105"/>
    </row>
    <row r="51" spans="1:59" ht="24.95" customHeight="1" x14ac:dyDescent="0.2">
      <c r="A51" s="98" t="s">
        <v>58</v>
      </c>
      <c r="B51" s="106"/>
      <c r="C51" s="30"/>
      <c r="D51" s="21" t="s">
        <v>141</v>
      </c>
      <c r="E51" s="12">
        <v>0</v>
      </c>
      <c r="F51" s="82"/>
      <c r="G51" s="81"/>
      <c r="H51" s="38" t="s">
        <v>58</v>
      </c>
      <c r="I51" s="21" t="str">
        <f>IF(ISBLANK($R$81),"TBD",$R$81)</f>
        <v>TBD</v>
      </c>
      <c r="J51" s="68" t="s">
        <v>153</v>
      </c>
      <c r="K51" s="72"/>
      <c r="L51" s="103"/>
      <c r="M51" s="112"/>
      <c r="N51" s="63" t="str">
        <f t="shared" si="0"/>
        <v>Participant #35</v>
      </c>
      <c r="O51" s="63" t="str">
        <f t="shared" si="1"/>
        <v/>
      </c>
      <c r="P51" s="114"/>
      <c r="Q51" s="8" t="str" cm="1">
        <f t="array" ref="Q51">IFERROR(INDEX($N$17:$N$64,SMALL($O$17:$O$64,ROW(B33))),"-")</f>
        <v>-</v>
      </c>
      <c r="R51" s="4"/>
      <c r="S51" s="111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103"/>
      <c r="AY51" s="72"/>
      <c r="AZ51" s="72"/>
      <c r="BA51" s="72"/>
      <c r="BB51" s="72"/>
      <c r="BC51" s="72"/>
      <c r="BD51" s="72"/>
      <c r="BE51" s="72"/>
      <c r="BF51" s="29"/>
      <c r="BG51" s="105"/>
    </row>
    <row r="52" spans="1:59" ht="24.95" customHeight="1" x14ac:dyDescent="0.2">
      <c r="A52" s="98" t="s">
        <v>215</v>
      </c>
      <c r="B52" s="106"/>
      <c r="C52" s="30"/>
      <c r="D52" s="21" t="s">
        <v>142</v>
      </c>
      <c r="E52" s="12">
        <v>0</v>
      </c>
      <c r="F52" s="82"/>
      <c r="G52" s="81"/>
      <c r="H52" s="38" t="s">
        <v>58</v>
      </c>
      <c r="I52" s="21" t="str">
        <f>IF(ISBLANK($R$85),"TBD",$R$85)</f>
        <v>TBD</v>
      </c>
      <c r="J52" s="68" t="s">
        <v>153</v>
      </c>
      <c r="K52" s="72"/>
      <c r="L52" s="103"/>
      <c r="M52" s="112"/>
      <c r="N52" s="63" t="str">
        <f t="shared" si="0"/>
        <v>Participant #36</v>
      </c>
      <c r="O52" s="63" t="str">
        <f t="shared" si="1"/>
        <v/>
      </c>
      <c r="P52" s="115"/>
      <c r="Q52" s="9" t="str" cm="1">
        <f t="array" ref="Q52">IFERROR(INDEX($N$17:$N$64,SMALL($O$17:$O$64,ROW(B45))),"-")</f>
        <v>-</v>
      </c>
      <c r="R52" s="4"/>
      <c r="S52" s="111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103"/>
      <c r="AY52" s="72"/>
      <c r="AZ52" s="72"/>
      <c r="BA52" s="72"/>
      <c r="BB52" s="72"/>
      <c r="BC52" s="72"/>
      <c r="BD52" s="72"/>
      <c r="BE52" s="72"/>
      <c r="BF52" s="29"/>
      <c r="BG52" s="105"/>
    </row>
    <row r="53" spans="1:59" ht="24.95" customHeight="1" x14ac:dyDescent="0.2">
      <c r="A53" s="98" t="s">
        <v>216</v>
      </c>
      <c r="B53" s="106"/>
      <c r="C53" s="30"/>
      <c r="D53" s="21" t="s">
        <v>143</v>
      </c>
      <c r="E53" s="12">
        <v>0</v>
      </c>
      <c r="F53" s="82"/>
      <c r="G53" s="81"/>
      <c r="H53" s="38" t="s">
        <v>58</v>
      </c>
      <c r="I53" s="21" t="str">
        <f>IF(ISBLANK($R$89),"TBD",$R$89)</f>
        <v>TBD</v>
      </c>
      <c r="J53" s="68" t="s">
        <v>153</v>
      </c>
      <c r="K53" s="72"/>
      <c r="L53" s="103"/>
      <c r="M53" s="112"/>
      <c r="N53" s="63" t="str">
        <f t="shared" si="0"/>
        <v>Participant #37</v>
      </c>
      <c r="O53" s="63" t="str">
        <f t="shared" si="1"/>
        <v/>
      </c>
      <c r="P53" s="159" t="s">
        <v>47</v>
      </c>
      <c r="Q53" s="7" t="str" cm="1">
        <f t="array" ref="Q53">IFERROR(INDEX($N$17:$N$64,SMALL($O$17:$O$64,ROW(B10))),"-")</f>
        <v>-</v>
      </c>
      <c r="R53" s="3"/>
      <c r="S53" s="111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103"/>
      <c r="AY53" s="72"/>
      <c r="AZ53" s="72"/>
      <c r="BA53" s="72"/>
      <c r="BB53" s="72"/>
      <c r="BC53" s="72"/>
      <c r="BD53" s="72"/>
      <c r="BE53" s="72"/>
      <c r="BF53" s="29"/>
      <c r="BG53" s="105"/>
    </row>
    <row r="54" spans="1:59" ht="24.95" customHeight="1" x14ac:dyDescent="0.2">
      <c r="A54" s="98" t="s">
        <v>74</v>
      </c>
      <c r="B54" s="106"/>
      <c r="C54" s="30"/>
      <c r="D54" s="21" t="s">
        <v>144</v>
      </c>
      <c r="E54" s="12">
        <v>0</v>
      </c>
      <c r="F54" s="82"/>
      <c r="G54" s="81"/>
      <c r="H54" s="38" t="s">
        <v>58</v>
      </c>
      <c r="I54" s="21" t="str">
        <f>IF(ISBLANK($R$93),"TBD",$R$93)</f>
        <v>TBD</v>
      </c>
      <c r="J54" s="68" t="s">
        <v>153</v>
      </c>
      <c r="K54" s="72"/>
      <c r="L54" s="103"/>
      <c r="M54" s="112"/>
      <c r="N54" s="63" t="str">
        <f t="shared" si="0"/>
        <v>Participant #38</v>
      </c>
      <c r="O54" s="63" t="str">
        <f t="shared" si="1"/>
        <v/>
      </c>
      <c r="P54" s="114"/>
      <c r="Q54" s="8" t="str" cm="1">
        <f t="array" ref="Q54">IFERROR(INDEX($N$17:$N$64,SMALL($O$17:$O$64,ROW(B22))),"-")</f>
        <v>-</v>
      </c>
      <c r="R54" s="10"/>
      <c r="S54" s="111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103"/>
      <c r="AY54" s="72"/>
      <c r="AZ54" s="72"/>
      <c r="BA54" s="72"/>
      <c r="BB54" s="72"/>
      <c r="BC54" s="72"/>
      <c r="BD54" s="72"/>
      <c r="BE54" s="72"/>
      <c r="BF54" s="29"/>
      <c r="BG54" s="105"/>
    </row>
    <row r="55" spans="1:59" ht="24.75" customHeight="1" x14ac:dyDescent="0.2">
      <c r="A55" s="98" t="s">
        <v>217</v>
      </c>
      <c r="B55" s="106"/>
      <c r="C55" s="30"/>
      <c r="D55" s="21" t="s">
        <v>145</v>
      </c>
      <c r="E55" s="12">
        <v>0</v>
      </c>
      <c r="F55" s="82"/>
      <c r="G55" s="81"/>
      <c r="H55" s="38" t="s">
        <v>58</v>
      </c>
      <c r="I55" s="21" t="str">
        <f>IF(ISBLANK($R$97),"TBD",$R$97)</f>
        <v>TBD</v>
      </c>
      <c r="J55" s="68" t="s">
        <v>153</v>
      </c>
      <c r="K55" s="72"/>
      <c r="L55" s="103"/>
      <c r="M55" s="112"/>
      <c r="N55" s="63" t="str">
        <f t="shared" si="0"/>
        <v>Participant #39</v>
      </c>
      <c r="O55" s="63" t="str">
        <f t="shared" si="1"/>
        <v/>
      </c>
      <c r="P55" s="114"/>
      <c r="Q55" s="8" t="str" cm="1">
        <f t="array" ref="Q55">IFERROR(INDEX($N$17:$N$64,SMALL($O$17:$O$64,ROW(B34))),"-")</f>
        <v>-</v>
      </c>
      <c r="R55" s="4"/>
      <c r="S55" s="111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103"/>
      <c r="AY55" s="72"/>
      <c r="AZ55" s="72"/>
      <c r="BA55" s="72"/>
      <c r="BB55" s="72"/>
      <c r="BC55" s="72"/>
      <c r="BD55" s="72"/>
      <c r="BE55" s="72"/>
      <c r="BF55" s="29"/>
      <c r="BG55" s="105"/>
    </row>
    <row r="56" spans="1:59" ht="24.95" customHeight="1" x14ac:dyDescent="0.2">
      <c r="A56" s="98" t="s">
        <v>218</v>
      </c>
      <c r="B56" s="106"/>
      <c r="C56" s="30"/>
      <c r="D56" s="21" t="s">
        <v>146</v>
      </c>
      <c r="E56" s="12">
        <v>0</v>
      </c>
      <c r="F56" s="82"/>
      <c r="G56" s="81"/>
      <c r="H56" s="38" t="s">
        <v>58</v>
      </c>
      <c r="I56" s="21" t="str">
        <f>IF(ISBLANK($R$101),"TBD",$R$101)</f>
        <v>TBD</v>
      </c>
      <c r="J56" s="68" t="s">
        <v>153</v>
      </c>
      <c r="K56" s="72"/>
      <c r="L56" s="103"/>
      <c r="M56" s="112"/>
      <c r="N56" s="63" t="str">
        <f t="shared" si="0"/>
        <v>Participant #40</v>
      </c>
      <c r="O56" s="63" t="str">
        <f t="shared" si="1"/>
        <v/>
      </c>
      <c r="P56" s="115"/>
      <c r="Q56" s="9" t="str" cm="1">
        <f t="array" ref="Q56">IFERROR(INDEX($N$17:$N$64,SMALL($O$17:$O$64,ROW(B46))),"-")</f>
        <v>-</v>
      </c>
      <c r="R56" s="4"/>
      <c r="S56" s="111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103"/>
      <c r="AY56" s="72"/>
      <c r="AZ56" s="72"/>
      <c r="BA56" s="72"/>
      <c r="BB56" s="72"/>
      <c r="BC56" s="72"/>
      <c r="BD56" s="72"/>
      <c r="BE56" s="72"/>
      <c r="BF56" s="29"/>
      <c r="BG56" s="105"/>
    </row>
    <row r="57" spans="1:59" ht="24.95" customHeight="1" x14ac:dyDescent="0.2">
      <c r="A57" s="98" t="s">
        <v>219</v>
      </c>
      <c r="B57" s="106"/>
      <c r="C57" s="30"/>
      <c r="D57" s="21" t="s">
        <v>147</v>
      </c>
      <c r="E57" s="12">
        <v>0</v>
      </c>
      <c r="F57" s="82"/>
      <c r="G57" s="81"/>
      <c r="H57" s="38" t="s">
        <v>58</v>
      </c>
      <c r="I57" s="21" t="str">
        <f>IF(ISBLANK($R$82),"TBD",$R$82)</f>
        <v>TBD</v>
      </c>
      <c r="J57" s="68" t="s">
        <v>154</v>
      </c>
      <c r="K57" s="72"/>
      <c r="L57" s="103"/>
      <c r="M57" s="112"/>
      <c r="N57" s="63" t="str">
        <f t="shared" si="0"/>
        <v>Participant #41</v>
      </c>
      <c r="O57" s="63" t="str">
        <f t="shared" si="1"/>
        <v/>
      </c>
      <c r="P57" s="159" t="s">
        <v>55</v>
      </c>
      <c r="Q57" s="7" t="str" cm="1">
        <f t="array" ref="Q57">IFERROR(INDEX($N$17:$N$64,SMALL($O$17:$O$64,ROW(B11))),"-")</f>
        <v>-</v>
      </c>
      <c r="R57" s="3"/>
      <c r="S57" s="111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103"/>
      <c r="AY57" s="72"/>
      <c r="AZ57" s="72"/>
      <c r="BA57" s="72"/>
      <c r="BB57" s="72"/>
      <c r="BC57" s="72"/>
      <c r="BD57" s="72"/>
      <c r="BE57" s="72"/>
      <c r="BF57" s="29"/>
      <c r="BG57" s="105"/>
    </row>
    <row r="58" spans="1:59" ht="24.95" customHeight="1" x14ac:dyDescent="0.2">
      <c r="A58" s="98" t="s">
        <v>220</v>
      </c>
      <c r="B58" s="106"/>
      <c r="C58" s="30"/>
      <c r="D58" s="21" t="s">
        <v>148</v>
      </c>
      <c r="E58" s="12">
        <v>0</v>
      </c>
      <c r="F58" s="82"/>
      <c r="G58" s="81"/>
      <c r="H58" s="38" t="s">
        <v>58</v>
      </c>
      <c r="I58" s="21" t="str">
        <f>IF(ISBLANK($R$86),"TBD",$R$86)</f>
        <v>TBD</v>
      </c>
      <c r="J58" s="68" t="s">
        <v>154</v>
      </c>
      <c r="K58" s="72"/>
      <c r="L58" s="103"/>
      <c r="M58" s="112"/>
      <c r="N58" s="63" t="str">
        <f t="shared" si="0"/>
        <v>Participant #42</v>
      </c>
      <c r="O58" s="63" t="str">
        <f t="shared" si="1"/>
        <v/>
      </c>
      <c r="P58" s="114"/>
      <c r="Q58" s="8" t="str" cm="1">
        <f t="array" ref="Q58">IFERROR(INDEX($N$17:$N$64,SMALL($O$17:$O$64,ROW(B23))),"-")</f>
        <v>-</v>
      </c>
      <c r="R58" s="10"/>
      <c r="S58" s="111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103"/>
      <c r="AY58" s="72"/>
      <c r="AZ58" s="72"/>
      <c r="BA58" s="72"/>
      <c r="BB58" s="72"/>
      <c r="BC58" s="72"/>
      <c r="BD58" s="72"/>
      <c r="BE58" s="72"/>
      <c r="BF58" s="29"/>
      <c r="BG58" s="105"/>
    </row>
    <row r="59" spans="1:59" ht="24.95" customHeight="1" x14ac:dyDescent="0.2">
      <c r="A59" s="98" t="s">
        <v>221</v>
      </c>
      <c r="B59" s="106"/>
      <c r="C59" s="30"/>
      <c r="D59" s="21" t="s">
        <v>149</v>
      </c>
      <c r="E59" s="12">
        <v>0</v>
      </c>
      <c r="F59" s="82"/>
      <c r="G59" s="81"/>
      <c r="H59" s="38" t="s">
        <v>58</v>
      </c>
      <c r="I59" s="21" t="str">
        <f>IF(ISBLANK($R$90),"TBD",$R$90)</f>
        <v>TBD</v>
      </c>
      <c r="J59" s="68" t="s">
        <v>154</v>
      </c>
      <c r="K59" s="72"/>
      <c r="L59" s="103"/>
      <c r="M59" s="112"/>
      <c r="N59" s="63" t="str">
        <f t="shared" si="0"/>
        <v>Participant #43</v>
      </c>
      <c r="O59" s="63" t="str">
        <f t="shared" si="1"/>
        <v/>
      </c>
      <c r="P59" s="114"/>
      <c r="Q59" s="8" t="str" cm="1">
        <f t="array" ref="Q59">IFERROR(INDEX($N$17:$N$64,SMALL($O$17:$O$64,ROW(B35))),"-")</f>
        <v>-</v>
      </c>
      <c r="R59" s="4"/>
      <c r="S59" s="111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103"/>
      <c r="AY59" s="72"/>
      <c r="AZ59" s="72"/>
      <c r="BA59" s="72"/>
      <c r="BB59" s="72"/>
      <c r="BC59" s="72"/>
      <c r="BD59" s="72"/>
      <c r="BE59" s="72"/>
      <c r="BF59" s="29"/>
      <c r="BG59" s="105"/>
    </row>
    <row r="60" spans="1:59" ht="24.95" customHeight="1" x14ac:dyDescent="0.2">
      <c r="A60" s="98" t="s">
        <v>222</v>
      </c>
      <c r="B60" s="106"/>
      <c r="C60" s="30"/>
      <c r="D60" s="21" t="s">
        <v>150</v>
      </c>
      <c r="E60" s="12">
        <v>0</v>
      </c>
      <c r="F60" s="82"/>
      <c r="G60" s="81"/>
      <c r="H60" s="38" t="s">
        <v>58</v>
      </c>
      <c r="I60" s="21" t="str">
        <f>IF(ISBLANK($R$94),"TBD",$R$94)</f>
        <v>TBD</v>
      </c>
      <c r="J60" s="68" t="s">
        <v>154</v>
      </c>
      <c r="K60" s="72"/>
      <c r="L60" s="103"/>
      <c r="M60" s="112"/>
      <c r="N60" s="63" t="str">
        <f t="shared" si="0"/>
        <v>Participant #44</v>
      </c>
      <c r="O60" s="63" t="str">
        <f t="shared" si="1"/>
        <v/>
      </c>
      <c r="P60" s="115"/>
      <c r="Q60" s="9" t="str" cm="1">
        <f t="array" ref="Q60">IFERROR(INDEX($N$17:$N$64,SMALL($O$17:$O$64,ROW(B47))),"-")</f>
        <v>-</v>
      </c>
      <c r="R60" s="4"/>
      <c r="S60" s="111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103"/>
      <c r="AY60" s="72"/>
      <c r="AZ60" s="72"/>
      <c r="BA60" s="72"/>
      <c r="BB60" s="72"/>
      <c r="BC60" s="72"/>
      <c r="BD60" s="72"/>
      <c r="BE60" s="72"/>
      <c r="BF60" s="29"/>
      <c r="BG60" s="105"/>
    </row>
    <row r="61" spans="1:59" ht="24.95" customHeight="1" x14ac:dyDescent="0.2">
      <c r="A61" s="98" t="s">
        <v>223</v>
      </c>
      <c r="B61" s="106"/>
      <c r="C61" s="30"/>
      <c r="D61" s="21" t="s">
        <v>151</v>
      </c>
      <c r="E61" s="12">
        <v>0</v>
      </c>
      <c r="F61" s="82"/>
      <c r="G61" s="81"/>
      <c r="H61" s="38" t="s">
        <v>58</v>
      </c>
      <c r="I61" s="21" t="str">
        <f>IF(ISBLANK($R$98),"TBD",$R$98)</f>
        <v>TBD</v>
      </c>
      <c r="J61" s="68" t="s">
        <v>154</v>
      </c>
      <c r="K61" s="72"/>
      <c r="L61" s="103"/>
      <c r="M61" s="112"/>
      <c r="N61" s="63" t="str">
        <f t="shared" si="0"/>
        <v>Participant #45</v>
      </c>
      <c r="O61" s="63" t="str">
        <f t="shared" si="1"/>
        <v/>
      </c>
      <c r="P61" s="159" t="s">
        <v>56</v>
      </c>
      <c r="Q61" s="7" t="str" cm="1">
        <f t="array" ref="Q61">IFERROR(INDEX($N$17:$N$64,SMALL($O$17:$O$64,ROW(B12))),"-")</f>
        <v>-</v>
      </c>
      <c r="R61" s="3"/>
      <c r="S61" s="111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103"/>
      <c r="AY61" s="72"/>
      <c r="AZ61" s="72"/>
      <c r="BA61" s="72"/>
      <c r="BB61" s="72"/>
      <c r="BC61" s="72"/>
      <c r="BD61" s="72"/>
      <c r="BE61" s="72"/>
      <c r="BF61" s="29"/>
      <c r="BG61" s="105"/>
    </row>
    <row r="62" spans="1:59" ht="24.95" customHeight="1" x14ac:dyDescent="0.2">
      <c r="A62" s="98" t="s">
        <v>224</v>
      </c>
      <c r="B62" s="106"/>
      <c r="C62" s="30"/>
      <c r="D62" s="22" t="s">
        <v>152</v>
      </c>
      <c r="E62" s="71">
        <v>0</v>
      </c>
      <c r="F62" s="82"/>
      <c r="G62" s="81"/>
      <c r="H62" s="39" t="s">
        <v>58</v>
      </c>
      <c r="I62" s="22" t="str">
        <f>IF(ISBLANK($R$102),"TBD",$R$102)</f>
        <v>TBD</v>
      </c>
      <c r="J62" s="69" t="s">
        <v>154</v>
      </c>
      <c r="K62" s="72"/>
      <c r="L62" s="103"/>
      <c r="M62" s="112"/>
      <c r="N62" s="63" t="str">
        <f t="shared" si="0"/>
        <v>Participant #46</v>
      </c>
      <c r="O62" s="63" t="str">
        <f t="shared" si="1"/>
        <v/>
      </c>
      <c r="P62" s="114"/>
      <c r="Q62" s="8" t="str" cm="1">
        <f t="array" ref="Q62">IFERROR(INDEX($N$17:$N$64,SMALL($O$17:$O$64,ROW(B24))),"-")</f>
        <v>-</v>
      </c>
      <c r="R62" s="10"/>
      <c r="S62" s="111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103"/>
      <c r="AY62" s="72"/>
      <c r="AZ62" s="72"/>
      <c r="BA62" s="72"/>
      <c r="BB62" s="72"/>
      <c r="BC62" s="72"/>
      <c r="BD62" s="72"/>
      <c r="BE62" s="72"/>
      <c r="BF62" s="29"/>
      <c r="BG62" s="105"/>
    </row>
    <row r="63" spans="1:59" ht="24.95" customHeight="1" x14ac:dyDescent="0.2">
      <c r="A63" s="98" t="s">
        <v>225</v>
      </c>
      <c r="B63" s="106"/>
      <c r="C63" s="30"/>
      <c r="D63" s="72"/>
      <c r="E63" s="81"/>
      <c r="F63" s="82"/>
      <c r="G63" s="81"/>
      <c r="H63" s="82"/>
      <c r="I63" s="82"/>
      <c r="J63" s="82"/>
      <c r="K63" s="72"/>
      <c r="L63" s="103"/>
      <c r="M63" s="112"/>
      <c r="N63" s="63" t="str">
        <f t="shared" si="0"/>
        <v>Participant #47</v>
      </c>
      <c r="O63" s="63" t="str">
        <f t="shared" si="1"/>
        <v/>
      </c>
      <c r="P63" s="114"/>
      <c r="Q63" s="8" t="str" cm="1">
        <f t="array" ref="Q63">IFERROR(INDEX($N$17:$N$64,SMALL($O$17:$O$64,ROW(B36))),"-")</f>
        <v>-</v>
      </c>
      <c r="R63" s="4"/>
      <c r="S63" s="111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103"/>
      <c r="AY63" s="72"/>
      <c r="AZ63" s="72"/>
      <c r="BA63" s="72"/>
      <c r="BB63" s="72"/>
      <c r="BC63" s="72"/>
      <c r="BD63" s="72"/>
      <c r="BE63" s="72"/>
      <c r="BF63" s="29"/>
      <c r="BG63" s="105"/>
    </row>
    <row r="64" spans="1:59" ht="24.95" customHeight="1" x14ac:dyDescent="0.2">
      <c r="A64" s="98" t="s">
        <v>97</v>
      </c>
      <c r="B64" s="106"/>
      <c r="C64" s="30"/>
      <c r="D64" s="72"/>
      <c r="E64" s="81"/>
      <c r="F64" s="82"/>
      <c r="G64" s="81"/>
      <c r="H64" s="82"/>
      <c r="I64" s="82"/>
      <c r="J64" s="82"/>
      <c r="K64" s="72"/>
      <c r="L64" s="103"/>
      <c r="M64" s="158"/>
      <c r="N64" s="63" t="str">
        <f t="shared" si="0"/>
        <v>Participant #48</v>
      </c>
      <c r="O64" s="63" t="str">
        <f t="shared" si="1"/>
        <v/>
      </c>
      <c r="P64" s="115"/>
      <c r="Q64" s="9" t="str" cm="1">
        <f t="array" ref="Q64">IFERROR(INDEX($N$17:$N$64,SMALL($O$17:$O$64,ROW(B48))),"-")</f>
        <v>-</v>
      </c>
      <c r="R64" s="4"/>
      <c r="S64" s="119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103"/>
      <c r="AY64" s="72"/>
      <c r="AZ64" s="72"/>
      <c r="BA64" s="72"/>
      <c r="BB64" s="72"/>
      <c r="BC64" s="72"/>
      <c r="BD64" s="72"/>
      <c r="BE64" s="72"/>
      <c r="BF64" s="29"/>
      <c r="BG64" s="105"/>
    </row>
    <row r="65" spans="1:59" ht="24.95" customHeight="1" x14ac:dyDescent="0.2">
      <c r="A65" s="98" t="s">
        <v>87</v>
      </c>
      <c r="B65" s="106"/>
      <c r="C65" s="30"/>
      <c r="D65" s="72"/>
      <c r="E65" s="81"/>
      <c r="F65" s="82"/>
      <c r="G65" s="81"/>
      <c r="H65" s="82"/>
      <c r="I65" s="82"/>
      <c r="J65" s="82"/>
      <c r="K65" s="72"/>
      <c r="L65" s="103"/>
      <c r="M65" s="107"/>
      <c r="N65" s="107"/>
      <c r="O65" s="107"/>
      <c r="P65" s="107"/>
      <c r="Q65" s="113"/>
      <c r="R65" s="107"/>
      <c r="S65" s="108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103"/>
      <c r="AY65" s="72"/>
      <c r="AZ65" s="72"/>
      <c r="BA65" s="72"/>
      <c r="BB65" s="72"/>
      <c r="BC65" s="72"/>
      <c r="BD65" s="72"/>
      <c r="BE65" s="72"/>
      <c r="BF65" s="29"/>
      <c r="BG65" s="105"/>
    </row>
    <row r="66" spans="1:59" ht="24.75" customHeight="1" x14ac:dyDescent="0.2">
      <c r="A66" s="98" t="s">
        <v>226</v>
      </c>
      <c r="B66" s="106"/>
      <c r="C66" s="30"/>
      <c r="D66" s="72"/>
      <c r="E66" s="81"/>
      <c r="F66" s="82"/>
      <c r="G66" s="81"/>
      <c r="H66" s="82"/>
      <c r="I66" s="82"/>
      <c r="J66" s="82"/>
      <c r="K66" s="72"/>
      <c r="L66" s="103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103"/>
      <c r="AY66" s="72"/>
      <c r="AZ66" s="72"/>
      <c r="BA66" s="72"/>
      <c r="BB66" s="72"/>
      <c r="BC66" s="72"/>
      <c r="BD66" s="72"/>
      <c r="BE66" s="72"/>
      <c r="BF66" s="29"/>
      <c r="BG66" s="105"/>
    </row>
    <row r="67" spans="1:59" ht="24.95" customHeight="1" x14ac:dyDescent="0.2">
      <c r="A67" s="98" t="s">
        <v>227</v>
      </c>
      <c r="B67" s="106"/>
      <c r="C67" s="30"/>
      <c r="D67" s="72"/>
      <c r="E67" s="81"/>
      <c r="F67" s="82"/>
      <c r="G67" s="81"/>
      <c r="H67" s="82"/>
      <c r="I67" s="82"/>
      <c r="J67" s="82"/>
      <c r="K67" s="72"/>
      <c r="L67" s="103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103"/>
      <c r="AY67" s="72"/>
      <c r="AZ67" s="72"/>
      <c r="BA67" s="72"/>
      <c r="BB67" s="72"/>
      <c r="BC67" s="72"/>
      <c r="BD67" s="72"/>
      <c r="BE67" s="72"/>
      <c r="BF67" s="29"/>
      <c r="BG67" s="105"/>
    </row>
    <row r="68" spans="1:59" ht="24.95" customHeight="1" x14ac:dyDescent="0.2">
      <c r="A68" s="98" t="s">
        <v>228</v>
      </c>
      <c r="B68" s="106"/>
      <c r="C68" s="30"/>
      <c r="D68" s="72"/>
      <c r="E68" s="81"/>
      <c r="F68" s="82"/>
      <c r="G68" s="81"/>
      <c r="H68" s="82"/>
      <c r="I68" s="82"/>
      <c r="J68" s="82"/>
      <c r="K68" s="72"/>
      <c r="L68" s="103"/>
      <c r="M68" s="160" t="s">
        <v>41</v>
      </c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1"/>
      <c r="AX68" s="103"/>
      <c r="AY68" s="72"/>
      <c r="AZ68" s="72"/>
      <c r="BA68" s="72"/>
      <c r="BB68" s="72"/>
      <c r="BC68" s="72"/>
      <c r="BD68" s="72"/>
      <c r="BE68" s="72"/>
      <c r="BF68" s="29"/>
      <c r="BG68" s="105"/>
    </row>
    <row r="69" spans="1:59" ht="24.95" customHeight="1" x14ac:dyDescent="0.2">
      <c r="A69" s="98" t="s">
        <v>96</v>
      </c>
      <c r="B69" s="106"/>
      <c r="C69" s="30"/>
      <c r="D69" s="72"/>
      <c r="E69" s="81"/>
      <c r="F69" s="82"/>
      <c r="G69" s="81"/>
      <c r="H69" s="82"/>
      <c r="I69" s="82"/>
      <c r="J69" s="82"/>
      <c r="K69" s="72"/>
      <c r="L69" s="103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3"/>
      <c r="AX69" s="103"/>
      <c r="AY69" s="72"/>
      <c r="AZ69" s="72"/>
      <c r="BA69" s="72"/>
      <c r="BB69" s="72"/>
      <c r="BC69" s="72"/>
      <c r="BD69" s="72"/>
      <c r="BE69" s="72"/>
      <c r="BF69" s="29"/>
      <c r="BG69" s="105"/>
    </row>
    <row r="70" spans="1:59" ht="24.95" customHeight="1" x14ac:dyDescent="0.2">
      <c r="A70" s="98" t="s">
        <v>60</v>
      </c>
      <c r="B70" s="106"/>
      <c r="C70" s="30"/>
      <c r="D70" s="72"/>
      <c r="E70" s="81"/>
      <c r="F70" s="82"/>
      <c r="G70" s="81"/>
      <c r="H70" s="82"/>
      <c r="I70" s="82"/>
      <c r="J70" s="82"/>
      <c r="K70" s="72"/>
      <c r="L70" s="103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5"/>
      <c r="AX70" s="103"/>
      <c r="AY70" s="72"/>
      <c r="AZ70" s="72"/>
      <c r="BA70" s="72"/>
      <c r="BB70" s="72"/>
      <c r="BC70" s="72"/>
      <c r="BD70" s="72"/>
      <c r="BE70" s="72"/>
      <c r="BF70" s="29"/>
      <c r="BG70" s="105"/>
    </row>
    <row r="71" spans="1:59" ht="24.95" customHeight="1" x14ac:dyDescent="0.2">
      <c r="A71" s="98" t="s">
        <v>229</v>
      </c>
      <c r="B71" s="106"/>
      <c r="C71" s="30"/>
      <c r="D71" s="72"/>
      <c r="E71" s="81"/>
      <c r="F71" s="82"/>
      <c r="G71" s="81"/>
      <c r="H71" s="82"/>
      <c r="I71" s="82"/>
      <c r="J71" s="82"/>
      <c r="K71" s="72"/>
      <c r="L71" s="103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103"/>
      <c r="AY71" s="72"/>
      <c r="AZ71" s="72"/>
      <c r="BA71" s="72"/>
      <c r="BB71" s="72"/>
      <c r="BC71" s="72"/>
      <c r="BD71" s="72"/>
      <c r="BE71" s="72"/>
      <c r="BF71" s="29"/>
      <c r="BG71" s="105"/>
    </row>
    <row r="72" spans="1:59" ht="24.95" customHeight="1" x14ac:dyDescent="0.2">
      <c r="A72" s="98" t="s">
        <v>230</v>
      </c>
      <c r="B72" s="106"/>
      <c r="C72" s="30"/>
      <c r="D72" s="72"/>
      <c r="E72" s="81"/>
      <c r="F72" s="82"/>
      <c r="G72" s="81"/>
      <c r="H72" s="82"/>
      <c r="I72" s="82"/>
      <c r="J72" s="82"/>
      <c r="K72" s="72"/>
      <c r="L72" s="103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103"/>
      <c r="AY72" s="72"/>
      <c r="AZ72" s="72"/>
      <c r="BA72" s="72"/>
      <c r="BB72" s="72"/>
      <c r="BC72" s="72"/>
      <c r="BD72" s="72"/>
      <c r="BE72" s="72"/>
      <c r="BF72" s="29"/>
      <c r="BG72" s="105"/>
    </row>
    <row r="73" spans="1:59" ht="24.95" customHeight="1" x14ac:dyDescent="0.2">
      <c r="A73" s="62" t="s">
        <v>95</v>
      </c>
      <c r="B73" s="106"/>
      <c r="C73" s="30"/>
      <c r="D73" s="72"/>
      <c r="E73" s="81"/>
      <c r="F73" s="82"/>
      <c r="G73" s="81"/>
      <c r="H73" s="82"/>
      <c r="I73" s="82"/>
      <c r="J73" s="82"/>
      <c r="K73" s="72"/>
      <c r="L73" s="103"/>
      <c r="M73" s="121" t="s">
        <v>42</v>
      </c>
      <c r="N73" s="121"/>
      <c r="O73" s="121"/>
      <c r="P73" s="121"/>
      <c r="Q73" s="121"/>
      <c r="R73" s="121"/>
      <c r="S73" s="122"/>
      <c r="T73" s="78"/>
      <c r="U73" s="120" t="s">
        <v>46</v>
      </c>
      <c r="V73" s="121"/>
      <c r="W73" s="121"/>
      <c r="X73" s="121"/>
      <c r="Y73" s="122"/>
      <c r="Z73" s="78"/>
      <c r="AA73" s="120" t="s">
        <v>117</v>
      </c>
      <c r="AB73" s="121"/>
      <c r="AC73" s="121"/>
      <c r="AD73" s="121"/>
      <c r="AE73" s="122"/>
      <c r="AF73" s="72"/>
      <c r="AG73" s="120" t="s">
        <v>127</v>
      </c>
      <c r="AH73" s="121"/>
      <c r="AI73" s="121"/>
      <c r="AJ73" s="121"/>
      <c r="AK73" s="122"/>
      <c r="AL73" s="72"/>
      <c r="AM73" s="120" t="s">
        <v>177</v>
      </c>
      <c r="AN73" s="121"/>
      <c r="AO73" s="121"/>
      <c r="AP73" s="121"/>
      <c r="AQ73" s="122"/>
      <c r="AR73" s="72"/>
      <c r="AS73" s="120" t="s">
        <v>49</v>
      </c>
      <c r="AT73" s="121"/>
      <c r="AU73" s="121"/>
      <c r="AV73" s="121"/>
      <c r="AW73" s="121"/>
      <c r="AX73" s="103"/>
      <c r="AY73" s="72"/>
      <c r="AZ73" s="72"/>
      <c r="BA73" s="72"/>
      <c r="BB73" s="72"/>
      <c r="BC73" s="72"/>
      <c r="BD73" s="72"/>
      <c r="BE73" s="72"/>
      <c r="BF73" s="29"/>
      <c r="BG73" s="105"/>
    </row>
    <row r="74" spans="1:59" ht="24.95" customHeight="1" x14ac:dyDescent="0.2">
      <c r="A74" s="62" t="s">
        <v>231</v>
      </c>
      <c r="B74" s="106"/>
      <c r="C74" s="30"/>
      <c r="D74" s="72"/>
      <c r="E74" s="81"/>
      <c r="F74" s="82"/>
      <c r="G74" s="81"/>
      <c r="H74" s="82"/>
      <c r="I74" s="82"/>
      <c r="J74" s="82"/>
      <c r="K74" s="72"/>
      <c r="L74" s="103"/>
      <c r="M74" s="124"/>
      <c r="N74" s="124"/>
      <c r="O74" s="124"/>
      <c r="P74" s="124"/>
      <c r="Q74" s="124"/>
      <c r="R74" s="124"/>
      <c r="S74" s="125"/>
      <c r="T74" s="78"/>
      <c r="U74" s="123"/>
      <c r="V74" s="124"/>
      <c r="W74" s="124"/>
      <c r="X74" s="124"/>
      <c r="Y74" s="125"/>
      <c r="Z74" s="78"/>
      <c r="AA74" s="123"/>
      <c r="AB74" s="124"/>
      <c r="AC74" s="124"/>
      <c r="AD74" s="124"/>
      <c r="AE74" s="125"/>
      <c r="AF74" s="72"/>
      <c r="AG74" s="123"/>
      <c r="AH74" s="124"/>
      <c r="AI74" s="124"/>
      <c r="AJ74" s="124"/>
      <c r="AK74" s="125"/>
      <c r="AL74" s="72"/>
      <c r="AM74" s="123"/>
      <c r="AN74" s="124"/>
      <c r="AO74" s="124"/>
      <c r="AP74" s="124"/>
      <c r="AQ74" s="125"/>
      <c r="AR74" s="72"/>
      <c r="AS74" s="123"/>
      <c r="AT74" s="124"/>
      <c r="AU74" s="124"/>
      <c r="AV74" s="124"/>
      <c r="AW74" s="124"/>
      <c r="AX74" s="103"/>
      <c r="AY74" s="72"/>
      <c r="AZ74" s="72"/>
      <c r="BA74" s="72"/>
      <c r="BB74" s="72"/>
      <c r="BC74" s="72"/>
      <c r="BD74" s="72"/>
      <c r="BE74" s="72"/>
      <c r="BF74" s="29"/>
      <c r="BG74" s="105"/>
    </row>
    <row r="75" spans="1:59" ht="24.95" customHeight="1" x14ac:dyDescent="0.2">
      <c r="A75" s="62" t="s">
        <v>232</v>
      </c>
      <c r="B75" s="106"/>
      <c r="C75" s="30"/>
      <c r="D75" s="72"/>
      <c r="E75" s="81"/>
      <c r="F75" s="82"/>
      <c r="G75" s="81"/>
      <c r="H75" s="82"/>
      <c r="I75" s="82"/>
      <c r="J75" s="82"/>
      <c r="K75" s="72"/>
      <c r="L75" s="103"/>
      <c r="M75" s="127"/>
      <c r="N75" s="127"/>
      <c r="O75" s="127"/>
      <c r="P75" s="127"/>
      <c r="Q75" s="127"/>
      <c r="R75" s="127"/>
      <c r="S75" s="128"/>
      <c r="T75" s="78"/>
      <c r="U75" s="126"/>
      <c r="V75" s="127"/>
      <c r="W75" s="127"/>
      <c r="X75" s="127"/>
      <c r="Y75" s="128"/>
      <c r="Z75" s="78"/>
      <c r="AA75" s="126"/>
      <c r="AB75" s="127"/>
      <c r="AC75" s="127"/>
      <c r="AD75" s="127"/>
      <c r="AE75" s="128"/>
      <c r="AF75" s="72"/>
      <c r="AG75" s="126"/>
      <c r="AH75" s="127"/>
      <c r="AI75" s="127"/>
      <c r="AJ75" s="127"/>
      <c r="AK75" s="128"/>
      <c r="AL75" s="72"/>
      <c r="AM75" s="126"/>
      <c r="AN75" s="127"/>
      <c r="AO75" s="127"/>
      <c r="AP75" s="127"/>
      <c r="AQ75" s="128"/>
      <c r="AR75" s="72"/>
      <c r="AS75" s="126"/>
      <c r="AT75" s="127"/>
      <c r="AU75" s="127"/>
      <c r="AV75" s="127"/>
      <c r="AW75" s="127"/>
      <c r="AX75" s="103"/>
      <c r="AY75" s="72"/>
      <c r="AZ75" s="72"/>
      <c r="BA75" s="72"/>
      <c r="BB75" s="72"/>
      <c r="BC75" s="72"/>
      <c r="BD75" s="72"/>
      <c r="BE75" s="72"/>
      <c r="BF75" s="29"/>
      <c r="BG75" s="105"/>
    </row>
    <row r="76" spans="1:59" ht="24.95" customHeight="1" x14ac:dyDescent="0.2">
      <c r="A76" s="62" t="s">
        <v>233</v>
      </c>
      <c r="B76" s="106"/>
      <c r="C76" s="30"/>
      <c r="D76" s="72"/>
      <c r="E76" s="81"/>
      <c r="F76" s="82"/>
      <c r="G76" s="81"/>
      <c r="H76" s="82"/>
      <c r="I76" s="82"/>
      <c r="J76" s="82"/>
      <c r="K76" s="72"/>
      <c r="L76" s="103"/>
      <c r="M76" s="107"/>
      <c r="N76" s="107"/>
      <c r="O76" s="107"/>
      <c r="P76" s="107"/>
      <c r="Q76" s="107"/>
      <c r="R76" s="107"/>
      <c r="S76" s="108"/>
      <c r="T76" s="72"/>
      <c r="U76" s="109"/>
      <c r="V76" s="107"/>
      <c r="W76" s="107"/>
      <c r="X76" s="107"/>
      <c r="Y76" s="108"/>
      <c r="Z76" s="72"/>
      <c r="AA76" s="109"/>
      <c r="AB76" s="107"/>
      <c r="AC76" s="107"/>
      <c r="AD76" s="107"/>
      <c r="AE76" s="108"/>
      <c r="AF76" s="72"/>
      <c r="AG76" s="109"/>
      <c r="AH76" s="107"/>
      <c r="AI76" s="107"/>
      <c r="AJ76" s="107"/>
      <c r="AK76" s="108"/>
      <c r="AL76" s="72"/>
      <c r="AM76" s="48"/>
      <c r="AN76" s="46"/>
      <c r="AO76" s="46"/>
      <c r="AP76" s="46"/>
      <c r="AQ76" s="47"/>
      <c r="AR76" s="72"/>
      <c r="AS76" s="109"/>
      <c r="AT76" s="107"/>
      <c r="AU76" s="107"/>
      <c r="AV76" s="107"/>
      <c r="AW76" s="107"/>
      <c r="AX76" s="103"/>
      <c r="AY76" s="72"/>
      <c r="AZ76" s="72"/>
      <c r="BA76" s="72"/>
      <c r="BB76" s="72"/>
      <c r="BC76" s="72"/>
      <c r="BD76" s="72"/>
      <c r="BE76" s="72"/>
      <c r="BF76" s="29"/>
      <c r="BG76" s="105"/>
    </row>
    <row r="77" spans="1:59" ht="24.95" customHeight="1" x14ac:dyDescent="0.3">
      <c r="A77" s="62" t="s">
        <v>234</v>
      </c>
      <c r="B77" s="106"/>
      <c r="C77" s="30"/>
      <c r="D77" s="72"/>
      <c r="E77" s="81"/>
      <c r="F77" s="82"/>
      <c r="G77" s="81"/>
      <c r="H77" s="82"/>
      <c r="I77" s="82"/>
      <c r="J77" s="82"/>
      <c r="K77" s="72"/>
      <c r="L77" s="103"/>
      <c r="M77" s="157"/>
      <c r="P77" s="13">
        <v>4</v>
      </c>
      <c r="Q77" s="14" t="s">
        <v>29</v>
      </c>
      <c r="R77" s="14"/>
      <c r="S77" s="110"/>
      <c r="T77" s="72"/>
      <c r="U77" s="110"/>
      <c r="V77" s="44">
        <v>4</v>
      </c>
      <c r="W77" s="129" t="s">
        <v>29</v>
      </c>
      <c r="X77" s="130"/>
      <c r="Y77" s="110"/>
      <c r="Z77" s="92"/>
      <c r="AA77" s="110"/>
      <c r="AB77" s="44">
        <v>4</v>
      </c>
      <c r="AC77" s="129" t="s">
        <v>29</v>
      </c>
      <c r="AD77" s="130"/>
      <c r="AE77" s="110"/>
      <c r="AF77" s="72"/>
      <c r="AG77" s="110"/>
      <c r="AH77" s="44">
        <v>4</v>
      </c>
      <c r="AI77" s="129" t="s">
        <v>29</v>
      </c>
      <c r="AJ77" s="130"/>
      <c r="AK77" s="110"/>
      <c r="AL77" s="72"/>
      <c r="AM77" s="110"/>
      <c r="AN77" s="2">
        <v>4</v>
      </c>
      <c r="AO77" s="49" t="s">
        <v>29</v>
      </c>
      <c r="AP77" s="49"/>
      <c r="AQ77" s="110"/>
      <c r="AR77" s="72"/>
      <c r="AS77" s="57"/>
      <c r="AT77" s="2">
        <v>4</v>
      </c>
      <c r="AU77" s="129" t="s">
        <v>29</v>
      </c>
      <c r="AV77" s="130"/>
      <c r="AW77" s="54"/>
      <c r="AX77" s="103"/>
      <c r="AY77" s="72"/>
      <c r="AZ77" s="72"/>
      <c r="BA77" s="72"/>
      <c r="BB77" s="72"/>
      <c r="BC77" s="72"/>
      <c r="BD77" s="72"/>
      <c r="BE77" s="72"/>
      <c r="BF77" s="29"/>
      <c r="BG77" s="105"/>
    </row>
    <row r="78" spans="1:59" ht="24.95" customHeight="1" x14ac:dyDescent="0.2">
      <c r="A78" s="62" t="s">
        <v>235</v>
      </c>
      <c r="B78" s="106"/>
      <c r="C78" s="30"/>
      <c r="D78" s="72"/>
      <c r="E78" s="81"/>
      <c r="F78" s="82"/>
      <c r="G78" s="81"/>
      <c r="H78" s="82"/>
      <c r="I78" s="82"/>
      <c r="J78" s="82"/>
      <c r="K78" s="72"/>
      <c r="L78" s="103"/>
      <c r="M78" s="112"/>
      <c r="P78" s="1" t="s">
        <v>30</v>
      </c>
      <c r="Q78" s="11" t="s">
        <v>1</v>
      </c>
      <c r="R78" s="40" t="s">
        <v>31</v>
      </c>
      <c r="S78" s="111"/>
      <c r="T78" s="72"/>
      <c r="U78" s="111"/>
      <c r="V78" s="45" t="s">
        <v>30</v>
      </c>
      <c r="W78" s="11" t="s">
        <v>1</v>
      </c>
      <c r="X78" s="1" t="s">
        <v>31</v>
      </c>
      <c r="Y78" s="111"/>
      <c r="Z78" s="81"/>
      <c r="AA78" s="111"/>
      <c r="AB78" s="45" t="s">
        <v>30</v>
      </c>
      <c r="AC78" s="11" t="s">
        <v>1</v>
      </c>
      <c r="AD78" s="58" t="s">
        <v>31</v>
      </c>
      <c r="AE78" s="111"/>
      <c r="AF78" s="72"/>
      <c r="AG78" s="111"/>
      <c r="AH78" s="45" t="s">
        <v>30</v>
      </c>
      <c r="AI78" s="11" t="s">
        <v>1</v>
      </c>
      <c r="AJ78" s="58" t="s">
        <v>31</v>
      </c>
      <c r="AK78" s="111"/>
      <c r="AL78" s="72"/>
      <c r="AM78" s="111"/>
      <c r="AN78" s="1" t="s">
        <v>30</v>
      </c>
      <c r="AO78" s="11" t="s">
        <v>1</v>
      </c>
      <c r="AP78" s="40" t="s">
        <v>31</v>
      </c>
      <c r="AQ78" s="111"/>
      <c r="AR78" s="72"/>
      <c r="AS78" s="53"/>
      <c r="AT78" s="1" t="s">
        <v>30</v>
      </c>
      <c r="AU78" s="11" t="s">
        <v>1</v>
      </c>
      <c r="AV78" s="1" t="s">
        <v>31</v>
      </c>
      <c r="AW78" s="55"/>
      <c r="AX78" s="103"/>
      <c r="AY78" s="72"/>
      <c r="AZ78" s="72"/>
      <c r="BA78" s="72"/>
      <c r="BB78" s="72"/>
      <c r="BC78" s="72"/>
      <c r="BD78" s="72"/>
      <c r="BE78" s="72"/>
      <c r="BF78" s="29"/>
      <c r="BG78" s="105"/>
    </row>
    <row r="79" spans="1:59" ht="24.95" customHeight="1" x14ac:dyDescent="0.2">
      <c r="A79" s="62" t="s">
        <v>98</v>
      </c>
      <c r="B79" s="106"/>
      <c r="C79" s="30"/>
      <c r="D79" s="72"/>
      <c r="E79" s="81"/>
      <c r="F79" s="82"/>
      <c r="G79" s="81"/>
      <c r="H79" s="82"/>
      <c r="I79" s="82"/>
      <c r="J79" s="82"/>
      <c r="K79" s="72"/>
      <c r="L79" s="103"/>
      <c r="M79" s="112"/>
      <c r="P79" s="116" t="s">
        <v>133</v>
      </c>
      <c r="Q79" s="7" t="str">
        <f>IF(ISBLANK($R$19),"A3",$R$19)</f>
        <v>A3</v>
      </c>
      <c r="R79" s="41"/>
      <c r="S79" s="111"/>
      <c r="T79" s="72"/>
      <c r="U79" s="111"/>
      <c r="V79" s="131" t="s">
        <v>163</v>
      </c>
      <c r="W79" s="7" t="str">
        <f>IF(ISBLANK($R$79),"X1",$R$79)</f>
        <v>X1</v>
      </c>
      <c r="X79" s="3"/>
      <c r="Y79" s="111"/>
      <c r="Z79" s="93"/>
      <c r="AA79" s="111"/>
      <c r="AB79" s="116" t="s">
        <v>169</v>
      </c>
      <c r="AC79" s="15" t="str">
        <f>IF(ISBLANK($X$79),"AD1",$X$79)</f>
        <v>AD1</v>
      </c>
      <c r="AD79" s="59"/>
      <c r="AE79" s="111"/>
      <c r="AF79" s="72"/>
      <c r="AG79" s="111"/>
      <c r="AH79" s="116" t="s">
        <v>172</v>
      </c>
      <c r="AI79" s="15" t="str">
        <f>IF(ISBLANK($AD$79),"AJ1",$AD$79)</f>
        <v>AJ1</v>
      </c>
      <c r="AJ79" s="59"/>
      <c r="AK79" s="111"/>
      <c r="AL79" s="72"/>
      <c r="AM79" s="111"/>
      <c r="AN79" s="116" t="s">
        <v>175</v>
      </c>
      <c r="AO79" s="7" t="str">
        <f>IF(ISBLANK($AJ$79),"AO1",$AJ$79)</f>
        <v>AO1</v>
      </c>
      <c r="AP79" s="41"/>
      <c r="AQ79" s="111"/>
      <c r="AR79" s="72"/>
      <c r="AS79" s="53"/>
      <c r="AT79" s="116" t="s">
        <v>108</v>
      </c>
      <c r="AU79" s="7" t="str">
        <f>IF(ISBLANK($AP$79),"AR1",$AP$79)</f>
        <v>AR1</v>
      </c>
      <c r="AV79" s="3"/>
      <c r="AW79" s="55"/>
      <c r="AX79" s="103"/>
      <c r="AY79" s="72"/>
      <c r="AZ79" s="72"/>
      <c r="BA79" s="72"/>
      <c r="BB79" s="72"/>
      <c r="BC79" s="72"/>
      <c r="BD79" s="72"/>
      <c r="BE79" s="72"/>
      <c r="BF79" s="29"/>
      <c r="BG79" s="105"/>
    </row>
    <row r="80" spans="1:59" ht="24.95" customHeight="1" x14ac:dyDescent="0.2">
      <c r="A80" s="62" t="s">
        <v>86</v>
      </c>
      <c r="B80" s="106"/>
      <c r="C80" s="30"/>
      <c r="D80" s="72"/>
      <c r="E80" s="81"/>
      <c r="F80" s="82"/>
      <c r="G80" s="81"/>
      <c r="H80" s="82"/>
      <c r="I80" s="82"/>
      <c r="J80" s="82"/>
      <c r="K80" s="72"/>
      <c r="L80" s="103"/>
      <c r="M80" s="112"/>
      <c r="P80" s="117"/>
      <c r="Q80" s="8" t="str">
        <f>IF(ISBLANK($R$23),"B3",$R$23)</f>
        <v>B3</v>
      </c>
      <c r="R80" s="42"/>
      <c r="S80" s="111"/>
      <c r="T80" s="72"/>
      <c r="U80" s="111"/>
      <c r="V80" s="132"/>
      <c r="W80" s="8" t="str">
        <f>IF(ISBLANK($R$84),"Y2",$R$84)</f>
        <v>Y2</v>
      </c>
      <c r="X80" s="10"/>
      <c r="Y80" s="111"/>
      <c r="Z80" s="93"/>
      <c r="AA80" s="111"/>
      <c r="AB80" s="117"/>
      <c r="AC80" s="16" t="str">
        <f>IF(ISBLANK($X$83),"AE1",$X$83)</f>
        <v>AE1</v>
      </c>
      <c r="AD80" s="60"/>
      <c r="AE80" s="111"/>
      <c r="AF80" s="72"/>
      <c r="AG80" s="111"/>
      <c r="AH80" s="117"/>
      <c r="AI80" s="16" t="str">
        <f>IF(ISBLANK($AD$88),"AL2",$AD$88)</f>
        <v>AL2</v>
      </c>
      <c r="AJ80" s="60"/>
      <c r="AK80" s="111"/>
      <c r="AL80" s="72"/>
      <c r="AM80" s="111"/>
      <c r="AN80" s="117"/>
      <c r="AO80" s="16" t="str">
        <f>IF(ISBLANK($AJ$83),"AP1",$AJ$83)</f>
        <v>AP1</v>
      </c>
      <c r="AP80" s="94"/>
      <c r="AQ80" s="111"/>
      <c r="AR80" s="72"/>
      <c r="AS80" s="53"/>
      <c r="AT80" s="117"/>
      <c r="AU80" s="8" t="str">
        <f>IF(ISBLANK($AP$83),"AS1",$AP$83)</f>
        <v>AS1</v>
      </c>
      <c r="AV80" s="10"/>
      <c r="AW80" s="55"/>
      <c r="AX80" s="103"/>
      <c r="AY80" s="72"/>
      <c r="AZ80" s="72"/>
      <c r="BA80" s="72"/>
      <c r="BB80" s="72"/>
      <c r="BC80" s="72"/>
      <c r="BD80" s="72"/>
      <c r="BE80" s="72"/>
      <c r="BF80" s="29"/>
      <c r="BG80" s="105"/>
    </row>
    <row r="81" spans="1:59" ht="24.95" customHeight="1" x14ac:dyDescent="0.2">
      <c r="A81" s="62" t="s">
        <v>80</v>
      </c>
      <c r="B81" s="106"/>
      <c r="C81" s="30"/>
      <c r="D81" s="72"/>
      <c r="E81" s="81"/>
      <c r="F81" s="82"/>
      <c r="G81" s="81"/>
      <c r="H81" s="82"/>
      <c r="I81" s="82"/>
      <c r="J81" s="82"/>
      <c r="K81" s="72"/>
      <c r="L81" s="103"/>
      <c r="M81" s="112"/>
      <c r="P81" s="117"/>
      <c r="Q81" s="8" t="str">
        <f>IF(ISBLANK($R$60),"K4",$R$60)</f>
        <v>K4</v>
      </c>
      <c r="R81" s="74"/>
      <c r="S81" s="111"/>
      <c r="T81" s="72"/>
      <c r="U81" s="111"/>
      <c r="V81" s="132"/>
      <c r="W81" s="8" t="str">
        <f>IF(ISBLANK($X$19),"M3",$X$19)</f>
        <v>M3</v>
      </c>
      <c r="X81" s="4"/>
      <c r="Y81" s="111"/>
      <c r="Z81" s="93"/>
      <c r="AA81" s="111"/>
      <c r="AB81" s="117"/>
      <c r="AC81" s="8" t="str">
        <f>IF(ISBLANK($X$88),"AF2",$X$88)</f>
        <v>AF2</v>
      </c>
      <c r="AD81" s="74"/>
      <c r="AE81" s="111"/>
      <c r="AF81" s="72"/>
      <c r="AG81" s="111"/>
      <c r="AH81" s="117"/>
      <c r="AI81" s="8" t="str">
        <f>IF(ISBLANK($AD$19),"S3",$AD$19)</f>
        <v>S3</v>
      </c>
      <c r="AJ81" s="74"/>
      <c r="AK81" s="111"/>
      <c r="AL81" s="72"/>
      <c r="AM81" s="111"/>
      <c r="AN81" s="117"/>
      <c r="AO81" s="8" t="str">
        <f>IF(ISBLANK($AJ$88),"AQ2",$AJ$88)</f>
        <v>AQ2</v>
      </c>
      <c r="AP81" s="74"/>
      <c r="AQ81" s="111"/>
      <c r="AR81" s="72"/>
      <c r="AS81" s="53"/>
      <c r="AT81" s="117"/>
      <c r="AU81" s="8" t="str">
        <f>IF(ISBLANK($AP$19),"WF3",$AP$19)</f>
        <v>WF3</v>
      </c>
      <c r="AV81" s="4"/>
      <c r="AW81" s="55"/>
      <c r="AX81" s="103"/>
      <c r="AY81" s="72"/>
      <c r="AZ81" s="72"/>
      <c r="BA81" s="72"/>
      <c r="BB81" s="72"/>
      <c r="BC81" s="72"/>
      <c r="BD81" s="72"/>
      <c r="BE81" s="72"/>
      <c r="BF81" s="29"/>
      <c r="BG81" s="105"/>
    </row>
    <row r="82" spans="1:59" ht="24.75" customHeight="1" x14ac:dyDescent="0.2">
      <c r="A82" s="62" t="s">
        <v>236</v>
      </c>
      <c r="B82" s="106"/>
      <c r="C82" s="30"/>
      <c r="D82" s="72"/>
      <c r="E82" s="72"/>
      <c r="F82" s="72"/>
      <c r="G82" s="72"/>
      <c r="H82" s="72"/>
      <c r="I82" s="72"/>
      <c r="J82" s="72"/>
      <c r="K82" s="72"/>
      <c r="L82" s="103"/>
      <c r="M82" s="112"/>
      <c r="P82" s="118"/>
      <c r="Q82" s="8" t="str">
        <f>IF(ISBLANK($R$64),"L4",$R$64)</f>
        <v>L4</v>
      </c>
      <c r="R82" s="43"/>
      <c r="S82" s="111"/>
      <c r="T82" s="72"/>
      <c r="U82" s="111"/>
      <c r="V82" s="133"/>
      <c r="W82" s="8" t="str">
        <f>IF(ISBLANK($X$24),"N4",$X$24)</f>
        <v>N4</v>
      </c>
      <c r="X82" s="5"/>
      <c r="Y82" s="111"/>
      <c r="Z82" s="93"/>
      <c r="AA82" s="111"/>
      <c r="AB82" s="118"/>
      <c r="AC82" s="8" t="str">
        <f>IF(ISBLANK($X$92),"AG2",$X$92)</f>
        <v>AG2</v>
      </c>
      <c r="AD82" s="74"/>
      <c r="AE82" s="111"/>
      <c r="AF82" s="80"/>
      <c r="AG82" s="111"/>
      <c r="AH82" s="118"/>
      <c r="AI82" s="8" t="str">
        <f>IF(ISBLANK($AD$28),"U4",$AD$28)</f>
        <v>U4</v>
      </c>
      <c r="AJ82" s="74"/>
      <c r="AK82" s="111"/>
      <c r="AL82" s="72"/>
      <c r="AM82" s="111"/>
      <c r="AN82" s="118"/>
      <c r="AO82" s="8" t="str">
        <f>IF(ISBLANK($AJ$19),"V3",$AJ$19)</f>
        <v>V3</v>
      </c>
      <c r="AP82" s="74"/>
      <c r="AQ82" s="111"/>
      <c r="AR82" s="72"/>
      <c r="AS82" s="53"/>
      <c r="AT82" s="118"/>
      <c r="AU82" s="8" t="str">
        <f>IF(ISBLANK($AP$20),"WF4",$AP$20)</f>
        <v>WF4</v>
      </c>
      <c r="AV82" s="4"/>
      <c r="AW82" s="55"/>
      <c r="AX82" s="103"/>
      <c r="AY82" s="72"/>
      <c r="AZ82" s="79"/>
      <c r="BA82" s="73"/>
      <c r="BB82" s="76"/>
      <c r="BC82" s="72"/>
      <c r="BD82" s="72"/>
      <c r="BE82" s="72"/>
      <c r="BF82" s="29"/>
      <c r="BG82" s="105"/>
    </row>
    <row r="83" spans="1:59" ht="24.95" customHeight="1" x14ac:dyDescent="0.2">
      <c r="A83" s="62" t="s">
        <v>237</v>
      </c>
      <c r="B83" s="106"/>
      <c r="C83" s="30"/>
      <c r="D83" s="72"/>
      <c r="E83" s="72"/>
      <c r="F83" s="72"/>
      <c r="G83" s="72"/>
      <c r="H83" s="72"/>
      <c r="I83" s="72"/>
      <c r="J83" s="72"/>
      <c r="K83" s="72"/>
      <c r="L83" s="103"/>
      <c r="M83" s="112"/>
      <c r="P83" s="116" t="s">
        <v>134</v>
      </c>
      <c r="Q83" s="7" t="str">
        <f>IF(ISBLANK($R$27),"C3",$R$27)</f>
        <v>C3</v>
      </c>
      <c r="R83" s="41"/>
      <c r="S83" s="111"/>
      <c r="T83" s="72"/>
      <c r="U83" s="111"/>
      <c r="V83" s="131" t="s">
        <v>164</v>
      </c>
      <c r="W83" s="7" t="str">
        <f>IF(ISBLANK($R$83),"Y1",$R$83)</f>
        <v>Y1</v>
      </c>
      <c r="X83" s="3"/>
      <c r="Y83" s="111"/>
      <c r="Z83" s="93"/>
      <c r="AA83" s="111"/>
      <c r="AB83" s="116" t="s">
        <v>170</v>
      </c>
      <c r="AC83" s="15" t="str">
        <f>IF(ISBLANK($X$87),"AF1",$X$87)</f>
        <v>AF1</v>
      </c>
      <c r="AD83" s="59"/>
      <c r="AE83" s="111"/>
      <c r="AF83" s="80"/>
      <c r="AG83" s="111"/>
      <c r="AH83" s="116" t="s">
        <v>173</v>
      </c>
      <c r="AI83" s="15" t="str">
        <f>IF(ISBLANK($AD$83),"AK1",$AD$83)</f>
        <v>AK1</v>
      </c>
      <c r="AJ83" s="59"/>
      <c r="AK83" s="111"/>
      <c r="AL83" s="72"/>
      <c r="AM83" s="111"/>
      <c r="AN83" s="116" t="s">
        <v>176</v>
      </c>
      <c r="AO83" s="7" t="str">
        <f>IF(ISBLANK($AJ$87),"AQ1",$AD$87)</f>
        <v>AQ1</v>
      </c>
      <c r="AP83" s="41"/>
      <c r="AQ83" s="111"/>
      <c r="AR83" s="72"/>
      <c r="AS83" s="109"/>
      <c r="AT83" s="107"/>
      <c r="AU83" s="107"/>
      <c r="AV83" s="107"/>
      <c r="AW83" s="107"/>
      <c r="AX83" s="103"/>
      <c r="AY83" s="166"/>
      <c r="AZ83" s="166"/>
      <c r="BA83" s="166"/>
      <c r="BB83" s="166"/>
      <c r="BC83" s="166"/>
      <c r="BD83" s="72"/>
      <c r="BE83" s="72"/>
      <c r="BF83" s="29"/>
      <c r="BG83" s="105"/>
    </row>
    <row r="84" spans="1:59" ht="24.95" customHeight="1" x14ac:dyDescent="0.2">
      <c r="A84" s="62" t="s">
        <v>72</v>
      </c>
      <c r="B84" s="106"/>
      <c r="C84" s="30"/>
      <c r="D84" s="72"/>
      <c r="E84" s="72"/>
      <c r="F84" s="72"/>
      <c r="G84" s="72"/>
      <c r="H84" s="72"/>
      <c r="I84" s="72"/>
      <c r="J84" s="72"/>
      <c r="K84" s="72"/>
      <c r="L84" s="103"/>
      <c r="M84" s="112"/>
      <c r="P84" s="117"/>
      <c r="Q84" s="8" t="str">
        <f>IF(ISBLANK($R$31),"D3",$R$31)</f>
        <v>D3</v>
      </c>
      <c r="R84" s="42"/>
      <c r="S84" s="111"/>
      <c r="T84" s="72"/>
      <c r="U84" s="111"/>
      <c r="V84" s="132"/>
      <c r="W84" s="8" t="str">
        <f>IF(ISBLANK($R$80),"X2",$R$80)</f>
        <v>X2</v>
      </c>
      <c r="X84" s="10"/>
      <c r="Y84" s="111"/>
      <c r="Z84" s="93"/>
      <c r="AA84" s="111"/>
      <c r="AB84" s="117"/>
      <c r="AC84" s="16" t="str">
        <f>IF(ISBLANK($X$91),"AG1",$X$91)</f>
        <v>AG1</v>
      </c>
      <c r="AD84" s="60"/>
      <c r="AE84" s="111"/>
      <c r="AF84" s="80"/>
      <c r="AG84" s="111"/>
      <c r="AH84" s="117"/>
      <c r="AI84" s="16" t="str">
        <f>IF(ISBLANK($AD$80),"AJ2",$AD$80)</f>
        <v>AJ2</v>
      </c>
      <c r="AJ84" s="60"/>
      <c r="AK84" s="111"/>
      <c r="AL84" s="72"/>
      <c r="AM84" s="111"/>
      <c r="AN84" s="117"/>
      <c r="AO84" s="16" t="str">
        <f>IF(ISBLANK($AJ$80),"AO2",$AJ$80)</f>
        <v>AO2</v>
      </c>
      <c r="AP84" s="94"/>
      <c r="AQ84" s="111"/>
      <c r="AR84" s="72"/>
      <c r="AS84" s="72"/>
      <c r="AT84" s="75"/>
      <c r="AU84" s="73"/>
      <c r="AV84" s="76"/>
      <c r="AW84" s="72"/>
      <c r="AX84" s="103"/>
      <c r="AY84" s="72"/>
      <c r="AZ84" s="75"/>
      <c r="BA84" s="73"/>
      <c r="BB84" s="76"/>
      <c r="BC84" s="72"/>
      <c r="BD84" s="72"/>
      <c r="BE84" s="72"/>
      <c r="BF84" s="29"/>
      <c r="BG84" s="105"/>
    </row>
    <row r="85" spans="1:59" ht="24.95" customHeight="1" x14ac:dyDescent="0.2">
      <c r="A85" s="62" t="s">
        <v>76</v>
      </c>
      <c r="B85" s="106"/>
      <c r="C85" s="30"/>
      <c r="D85" s="72"/>
      <c r="E85" s="72"/>
      <c r="F85" s="72"/>
      <c r="G85" s="72"/>
      <c r="H85" s="72"/>
      <c r="I85" s="72"/>
      <c r="J85" s="72"/>
      <c r="K85" s="72"/>
      <c r="L85" s="103"/>
      <c r="M85" s="112"/>
      <c r="P85" s="117"/>
      <c r="Q85" s="8" t="str">
        <f>IF(ISBLANK($R$52),"I4",$R$52)</f>
        <v>I4</v>
      </c>
      <c r="R85" s="74"/>
      <c r="S85" s="111"/>
      <c r="T85" s="72"/>
      <c r="U85" s="111"/>
      <c r="V85" s="132"/>
      <c r="W85" s="8" t="str">
        <f>IF(ISBLANK($X$23),"N3",$X$23)</f>
        <v>N3</v>
      </c>
      <c r="X85" s="4"/>
      <c r="Y85" s="111"/>
      <c r="Z85" s="93"/>
      <c r="AA85" s="111"/>
      <c r="AB85" s="117"/>
      <c r="AC85" s="8" t="str">
        <f>IF(ISBLANK($X$96),"AH2",$X$96)</f>
        <v>AH2</v>
      </c>
      <c r="AD85" s="74"/>
      <c r="AE85" s="111"/>
      <c r="AF85" s="80"/>
      <c r="AG85" s="111"/>
      <c r="AH85" s="117"/>
      <c r="AI85" s="8" t="str">
        <f>IF(ISBLANK($AD$23),"T3",$AD$23)</f>
        <v>T3</v>
      </c>
      <c r="AJ85" s="74"/>
      <c r="AK85" s="111"/>
      <c r="AL85" s="72"/>
      <c r="AM85" s="111"/>
      <c r="AN85" s="117"/>
      <c r="AO85" s="8" t="str">
        <f>IF(ISBLANK($AJ$84),"AP2",$AJ$84)</f>
        <v>AP2</v>
      </c>
      <c r="AP85" s="74"/>
      <c r="AQ85" s="111"/>
      <c r="AR85" s="72"/>
      <c r="AS85" s="72"/>
      <c r="AT85" s="75"/>
      <c r="AU85" s="73"/>
      <c r="AV85" s="76"/>
      <c r="AW85" s="72"/>
      <c r="AX85" s="103"/>
      <c r="AY85" s="72"/>
      <c r="AZ85" s="75"/>
      <c r="BA85" s="73"/>
      <c r="BB85" s="76"/>
      <c r="BC85" s="72"/>
      <c r="BD85" s="72"/>
      <c r="BE85" s="72"/>
      <c r="BF85" s="29"/>
      <c r="BG85" s="105"/>
    </row>
    <row r="86" spans="1:59" ht="24.95" customHeight="1" x14ac:dyDescent="0.2">
      <c r="A86" s="62" t="s">
        <v>238</v>
      </c>
      <c r="B86" s="106"/>
      <c r="C86" s="30"/>
      <c r="D86" s="72"/>
      <c r="E86" s="72"/>
      <c r="F86" s="72"/>
      <c r="G86" s="72"/>
      <c r="H86" s="72"/>
      <c r="I86" s="72"/>
      <c r="J86" s="72"/>
      <c r="K86" s="72"/>
      <c r="L86" s="103"/>
      <c r="M86" s="112"/>
      <c r="P86" s="118"/>
      <c r="Q86" s="8" t="str">
        <f>IF(ISBLANK($R$58),"J4",$R$58)</f>
        <v>J4</v>
      </c>
      <c r="R86" s="74"/>
      <c r="S86" s="111"/>
      <c r="T86" s="72"/>
      <c r="U86" s="111"/>
      <c r="V86" s="133"/>
      <c r="W86" s="9" t="str">
        <f>IF(ISBLANK($X$20),"M4",$X$20)</f>
        <v>M4</v>
      </c>
      <c r="X86" s="5"/>
      <c r="Y86" s="111"/>
      <c r="Z86" s="93"/>
      <c r="AA86" s="111"/>
      <c r="AB86" s="118"/>
      <c r="AC86" s="8" t="str">
        <f>IF(ISBLANK($X$100),"AI2",$X$100)</f>
        <v>AI2</v>
      </c>
      <c r="AD86" s="74"/>
      <c r="AE86" s="111"/>
      <c r="AF86" s="80"/>
      <c r="AG86" s="111"/>
      <c r="AH86" s="118"/>
      <c r="AI86" s="8" t="str">
        <f>IF(ISBLANK($AD$20),"S4",$AD$20)</f>
        <v>S4</v>
      </c>
      <c r="AJ86" s="74"/>
      <c r="AK86" s="111"/>
      <c r="AL86" s="72"/>
      <c r="AM86" s="119"/>
      <c r="AN86" s="118"/>
      <c r="AO86" s="8" t="str">
        <f>IF(ISBLANK($AJ$22),"W3",$AJ$22)</f>
        <v>W3</v>
      </c>
      <c r="AP86" s="74"/>
      <c r="AQ86" s="119"/>
      <c r="AR86" s="72"/>
      <c r="AS86" s="72"/>
      <c r="AT86" s="75"/>
      <c r="AU86" s="73"/>
      <c r="AV86" s="76"/>
      <c r="AW86" s="72"/>
      <c r="AX86" s="103"/>
      <c r="AY86" s="72"/>
      <c r="AZ86" s="75"/>
      <c r="BA86" s="73"/>
      <c r="BB86" s="76"/>
      <c r="BC86" s="72"/>
      <c r="BD86" s="72"/>
      <c r="BE86" s="72"/>
      <c r="BF86" s="29"/>
      <c r="BG86" s="105"/>
    </row>
    <row r="87" spans="1:59" ht="24.95" customHeight="1" x14ac:dyDescent="0.2">
      <c r="A87" s="62" t="s">
        <v>239</v>
      </c>
      <c r="B87" s="106"/>
      <c r="C87" s="30"/>
      <c r="D87" s="72"/>
      <c r="E87" s="72"/>
      <c r="F87" s="72"/>
      <c r="G87" s="72"/>
      <c r="H87" s="72"/>
      <c r="I87" s="72"/>
      <c r="J87" s="72"/>
      <c r="K87" s="72"/>
      <c r="L87" s="103"/>
      <c r="M87" s="112"/>
      <c r="P87" s="116" t="s">
        <v>135</v>
      </c>
      <c r="Q87" s="7" t="str">
        <f>IF(ISBLANK($R$35),"E3",$R$35)</f>
        <v>E3</v>
      </c>
      <c r="R87" s="41"/>
      <c r="S87" s="111"/>
      <c r="T87" s="72"/>
      <c r="U87" s="111"/>
      <c r="V87" s="131" t="s">
        <v>165</v>
      </c>
      <c r="W87" s="7" t="str">
        <f>IF(ISBLANK($R$87),"Z1",$R$87)</f>
        <v>Z1</v>
      </c>
      <c r="X87" s="3"/>
      <c r="Y87" s="111"/>
      <c r="Z87" s="72"/>
      <c r="AA87" s="111"/>
      <c r="AB87" s="116" t="s">
        <v>171</v>
      </c>
      <c r="AC87" s="15" t="str">
        <f>IF(ISBLANK($X$95),"AH1",$X$95)</f>
        <v>AH1</v>
      </c>
      <c r="AD87" s="59"/>
      <c r="AE87" s="111"/>
      <c r="AF87" s="80"/>
      <c r="AG87" s="111"/>
      <c r="AH87" s="116" t="s">
        <v>174</v>
      </c>
      <c r="AI87" s="15" t="str">
        <f>IF(ISBLANK($AD$87),"AL1",$AD$87)</f>
        <v>AL1</v>
      </c>
      <c r="AJ87" s="59"/>
      <c r="AK87" s="111"/>
      <c r="AL87" s="72"/>
      <c r="AM87" s="48"/>
      <c r="AN87" s="46"/>
      <c r="AO87" s="46"/>
      <c r="AP87" s="46"/>
      <c r="AQ87" s="47"/>
      <c r="AR87" s="72"/>
      <c r="AS87" s="72"/>
      <c r="AT87" s="72"/>
      <c r="AU87" s="72"/>
      <c r="AV87" s="72"/>
      <c r="AW87" s="72"/>
      <c r="AX87" s="103"/>
      <c r="AY87" s="72"/>
      <c r="AZ87" s="72"/>
      <c r="BA87" s="72"/>
      <c r="BB87" s="72"/>
      <c r="BC87" s="72"/>
      <c r="BD87" s="72"/>
      <c r="BE87" s="72"/>
      <c r="BF87" s="29"/>
      <c r="BG87" s="105"/>
    </row>
    <row r="88" spans="1:59" ht="24.95" customHeight="1" x14ac:dyDescent="0.2">
      <c r="A88" s="62" t="s">
        <v>240</v>
      </c>
      <c r="B88" s="106"/>
      <c r="C88" s="30"/>
      <c r="D88" s="72"/>
      <c r="E88" s="72"/>
      <c r="F88" s="72"/>
      <c r="G88" s="72"/>
      <c r="H88" s="72"/>
      <c r="I88" s="72"/>
      <c r="J88" s="72"/>
      <c r="K88" s="72"/>
      <c r="L88" s="103"/>
      <c r="M88" s="112"/>
      <c r="P88" s="117"/>
      <c r="Q88" s="8" t="str">
        <f>IF(ISBLANK($R$39),"F3",$R$39)</f>
        <v>F3</v>
      </c>
      <c r="R88" s="42"/>
      <c r="S88" s="111"/>
      <c r="T88" s="72"/>
      <c r="U88" s="111"/>
      <c r="V88" s="132"/>
      <c r="W88" s="8" t="str">
        <f>IF(ISBLANK($R$92),"AA2",$R$92)</f>
        <v>AA2</v>
      </c>
      <c r="X88" s="10"/>
      <c r="Y88" s="111"/>
      <c r="Z88" s="72"/>
      <c r="AA88" s="111"/>
      <c r="AB88" s="117"/>
      <c r="AC88" s="16" t="str">
        <f>IF(ISBLANK($X$99),"AI1",$X$99)</f>
        <v>AI1</v>
      </c>
      <c r="AD88" s="60"/>
      <c r="AE88" s="111"/>
      <c r="AF88" s="80"/>
      <c r="AG88" s="111"/>
      <c r="AH88" s="117"/>
      <c r="AI88" s="16" t="str">
        <f>IF(ISBLANK($AD$84),"AK2",$AD$84)</f>
        <v>AK2</v>
      </c>
      <c r="AJ88" s="60"/>
      <c r="AK88" s="111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103"/>
      <c r="AY88" s="72"/>
      <c r="AZ88" s="72"/>
      <c r="BA88" s="72"/>
      <c r="BB88" s="72"/>
      <c r="BC88" s="72"/>
      <c r="BD88" s="72"/>
      <c r="BE88" s="72"/>
      <c r="BF88" s="29"/>
      <c r="BG88" s="105"/>
    </row>
    <row r="89" spans="1:59" ht="24.95" customHeight="1" x14ac:dyDescent="0.2">
      <c r="A89" s="62" t="s">
        <v>89</v>
      </c>
      <c r="B89" s="106"/>
      <c r="C89" s="30"/>
      <c r="D89" s="72"/>
      <c r="E89" s="72"/>
      <c r="F89" s="72"/>
      <c r="G89" s="72"/>
      <c r="H89" s="72"/>
      <c r="I89" s="72"/>
      <c r="J89" s="72"/>
      <c r="K89" s="72"/>
      <c r="L89" s="103"/>
      <c r="M89" s="112"/>
      <c r="P89" s="117"/>
      <c r="Q89" s="8" t="str">
        <f>IF(ISBLANK($R$44),"G4",$R$44)</f>
        <v>G4</v>
      </c>
      <c r="R89" s="74"/>
      <c r="S89" s="111"/>
      <c r="T89" s="72"/>
      <c r="U89" s="111"/>
      <c r="V89" s="132"/>
      <c r="W89" s="8" t="str">
        <f>IF(ISBLANK($X$27),"O3",$X$27)</f>
        <v>O3</v>
      </c>
      <c r="X89" s="4"/>
      <c r="Y89" s="111"/>
      <c r="Z89" s="72"/>
      <c r="AA89" s="111"/>
      <c r="AB89" s="117"/>
      <c r="AC89" s="8" t="str">
        <f>IF(ISBLANK($X$80),"AD2",$X$80)</f>
        <v>AD2</v>
      </c>
      <c r="AD89" s="74"/>
      <c r="AE89" s="111"/>
      <c r="AF89" s="80"/>
      <c r="AG89" s="111"/>
      <c r="AH89" s="117"/>
      <c r="AI89" s="8" t="str">
        <f>IF(ISBLANK($AD$27),"U3",$AD$27)</f>
        <v>U3</v>
      </c>
      <c r="AJ89" s="74"/>
      <c r="AK89" s="111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103"/>
      <c r="AY89" s="72"/>
      <c r="AZ89" s="72"/>
      <c r="BA89" s="72"/>
      <c r="BB89" s="72"/>
      <c r="BC89" s="72"/>
      <c r="BD89" s="72"/>
      <c r="BE89" s="72"/>
      <c r="BF89" s="29"/>
      <c r="BG89" s="105"/>
    </row>
    <row r="90" spans="1:59" ht="24.95" customHeight="1" x14ac:dyDescent="0.2">
      <c r="A90" s="62" t="s">
        <v>90</v>
      </c>
      <c r="B90" s="106"/>
      <c r="C90" s="30"/>
      <c r="D90" s="72"/>
      <c r="E90" s="72"/>
      <c r="F90" s="72"/>
      <c r="G90" s="72"/>
      <c r="H90" s="72"/>
      <c r="I90" s="72"/>
      <c r="J90" s="72"/>
      <c r="K90" s="72"/>
      <c r="L90" s="103"/>
      <c r="M90" s="112"/>
      <c r="P90" s="118"/>
      <c r="Q90" s="8" t="str">
        <f>IF(ISBLANK($R$48),"H4",$R$48)</f>
        <v>H4</v>
      </c>
      <c r="R90" s="74"/>
      <c r="S90" s="111"/>
      <c r="T90" s="72"/>
      <c r="U90" s="111"/>
      <c r="V90" s="133"/>
      <c r="W90" s="9" t="str">
        <f>IF(ISBLANK($X$32),"P4",$X$32)</f>
        <v>P4</v>
      </c>
      <c r="X90" s="5"/>
      <c r="Y90" s="111"/>
      <c r="Z90" s="72"/>
      <c r="AA90" s="119"/>
      <c r="AB90" s="118"/>
      <c r="AC90" s="8" t="str">
        <f>IF(ISBLANK($X$84),"AE2",$X$84)</f>
        <v>AE2</v>
      </c>
      <c r="AD90" s="74"/>
      <c r="AE90" s="119"/>
      <c r="AF90" s="80"/>
      <c r="AG90" s="119"/>
      <c r="AH90" s="118"/>
      <c r="AI90" s="8" t="str">
        <f>IF(ISBLANK($AD$24),"T4",$AD$24)</f>
        <v>T4</v>
      </c>
      <c r="AJ90" s="74"/>
      <c r="AK90" s="119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103"/>
      <c r="AY90" s="72"/>
      <c r="AZ90" s="72"/>
      <c r="BA90" s="72"/>
      <c r="BB90" s="72"/>
      <c r="BC90" s="72"/>
      <c r="BD90" s="72"/>
      <c r="BE90" s="72"/>
      <c r="BF90" s="29"/>
      <c r="BG90" s="105"/>
    </row>
    <row r="91" spans="1:59" ht="24.95" customHeight="1" x14ac:dyDescent="0.2">
      <c r="A91" s="62" t="s">
        <v>78</v>
      </c>
      <c r="B91" s="106"/>
      <c r="C91" s="30"/>
      <c r="D91" s="72"/>
      <c r="E91" s="72"/>
      <c r="F91" s="72"/>
      <c r="G91" s="72"/>
      <c r="H91" s="72"/>
      <c r="I91" s="72"/>
      <c r="J91" s="72"/>
      <c r="K91" s="72"/>
      <c r="L91" s="103"/>
      <c r="M91" s="112"/>
      <c r="P91" s="116" t="s">
        <v>136</v>
      </c>
      <c r="Q91" s="7" t="str">
        <f>IF(ISBLANK($R$43),"G3",$R$43)</f>
        <v>G3</v>
      </c>
      <c r="R91" s="41"/>
      <c r="S91" s="111"/>
      <c r="T91" s="72"/>
      <c r="U91" s="111"/>
      <c r="V91" s="131" t="s">
        <v>166</v>
      </c>
      <c r="W91" s="7" t="str">
        <f>IF(ISBLANK($R$91),"AA1",$R$91)</f>
        <v>AA1</v>
      </c>
      <c r="X91" s="3"/>
      <c r="Y91" s="111"/>
      <c r="Z91" s="72"/>
      <c r="AA91" s="109"/>
      <c r="AB91" s="107"/>
      <c r="AC91" s="107"/>
      <c r="AD91" s="107"/>
      <c r="AE91" s="108"/>
      <c r="AF91" s="80"/>
      <c r="AG91" s="109"/>
      <c r="AH91" s="107"/>
      <c r="AI91" s="107"/>
      <c r="AJ91" s="107"/>
      <c r="AK91" s="108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103"/>
      <c r="AY91" s="72"/>
      <c r="AZ91" s="72"/>
      <c r="BA91" s="72"/>
      <c r="BB91" s="72"/>
      <c r="BC91" s="72"/>
      <c r="BD91" s="72"/>
      <c r="BE91" s="72"/>
      <c r="BF91" s="29"/>
      <c r="BG91" s="105"/>
    </row>
    <row r="92" spans="1:59" ht="24.95" customHeight="1" x14ac:dyDescent="0.2">
      <c r="A92" s="62" t="s">
        <v>77</v>
      </c>
      <c r="B92" s="106"/>
      <c r="C92" s="30"/>
      <c r="D92" s="72"/>
      <c r="E92" s="72"/>
      <c r="F92" s="72"/>
      <c r="G92" s="72"/>
      <c r="H92" s="72"/>
      <c r="I92" s="72"/>
      <c r="J92" s="72"/>
      <c r="K92" s="72"/>
      <c r="L92" s="103"/>
      <c r="M92" s="112"/>
      <c r="P92" s="117"/>
      <c r="Q92" s="8" t="str">
        <f>IF(ISBLANK($R$47),"H3",$R$47)</f>
        <v>H3</v>
      </c>
      <c r="R92" s="42"/>
      <c r="S92" s="111"/>
      <c r="T92" s="72"/>
      <c r="U92" s="111"/>
      <c r="V92" s="132"/>
      <c r="W92" s="8" t="str">
        <f>IF(ISBLANK($R$88),"Z2",$R$88)</f>
        <v>Z2</v>
      </c>
      <c r="X92" s="10"/>
      <c r="Y92" s="111"/>
      <c r="Z92" s="72"/>
      <c r="AA92" s="72"/>
      <c r="AB92" s="72"/>
      <c r="AC92" s="72"/>
      <c r="AD92" s="72"/>
      <c r="AE92" s="72"/>
      <c r="AF92" s="80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103"/>
      <c r="AY92" s="72"/>
      <c r="AZ92" s="72"/>
      <c r="BA92" s="72"/>
      <c r="BB92" s="72"/>
      <c r="BC92" s="72"/>
      <c r="BD92" s="72"/>
      <c r="BE92" s="72"/>
      <c r="BF92" s="29"/>
      <c r="BG92" s="105"/>
    </row>
    <row r="93" spans="1:59" ht="24.95" customHeight="1" x14ac:dyDescent="0.2">
      <c r="A93" s="62" t="s">
        <v>83</v>
      </c>
      <c r="B93" s="106"/>
      <c r="C93" s="30"/>
      <c r="D93" s="72"/>
      <c r="E93" s="72"/>
      <c r="F93" s="72"/>
      <c r="G93" s="72"/>
      <c r="H93" s="72"/>
      <c r="I93" s="72"/>
      <c r="J93" s="72"/>
      <c r="K93" s="72"/>
      <c r="L93" s="103"/>
      <c r="M93" s="112"/>
      <c r="P93" s="117"/>
      <c r="Q93" s="8" t="str">
        <f>IF(ISBLANK($R$36),"E4",$R$36)</f>
        <v>E4</v>
      </c>
      <c r="R93" s="74"/>
      <c r="S93" s="111"/>
      <c r="T93" s="72"/>
      <c r="U93" s="111"/>
      <c r="V93" s="132"/>
      <c r="W93" s="8" t="str">
        <f>IF(ISBLANK($X$31),"P3",$X$31)</f>
        <v>P3</v>
      </c>
      <c r="X93" s="4"/>
      <c r="Y93" s="111"/>
      <c r="Z93" s="72"/>
      <c r="AA93" s="72"/>
      <c r="AB93" s="72"/>
      <c r="AC93" s="72"/>
      <c r="AD93" s="72"/>
      <c r="AE93" s="72"/>
      <c r="AF93" s="80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103"/>
      <c r="AY93" s="72"/>
      <c r="AZ93" s="72"/>
      <c r="BA93" s="72"/>
      <c r="BB93" s="72"/>
      <c r="BC93" s="72"/>
      <c r="BD93" s="72"/>
      <c r="BE93" s="72"/>
      <c r="BF93" s="29"/>
      <c r="BG93" s="105"/>
    </row>
    <row r="94" spans="1:59" ht="24.95" customHeight="1" x14ac:dyDescent="0.2">
      <c r="A94" s="62" t="s">
        <v>93</v>
      </c>
      <c r="B94" s="106"/>
      <c r="C94" s="30"/>
      <c r="D94" s="72"/>
      <c r="E94" s="72"/>
      <c r="F94" s="72"/>
      <c r="G94" s="72"/>
      <c r="H94" s="72"/>
      <c r="I94" s="72"/>
      <c r="J94" s="72"/>
      <c r="K94" s="72"/>
      <c r="L94" s="103"/>
      <c r="M94" s="112"/>
      <c r="P94" s="118"/>
      <c r="Q94" s="8" t="str">
        <f>IF(ISBLANK($R$40),"F4",$R$40)</f>
        <v>F4</v>
      </c>
      <c r="R94" s="74"/>
      <c r="S94" s="111"/>
      <c r="U94" s="111"/>
      <c r="V94" s="133"/>
      <c r="W94" s="9" t="str">
        <f>IF(ISBLANK($X$28),"O4",$X$28)</f>
        <v>O4</v>
      </c>
      <c r="X94" s="5"/>
      <c r="Y94" s="111"/>
      <c r="Z94" s="72"/>
      <c r="AA94" s="72"/>
      <c r="AB94" s="72"/>
      <c r="AC94" s="72"/>
      <c r="AD94" s="72"/>
      <c r="AE94" s="72"/>
      <c r="AF94" s="80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103"/>
      <c r="AY94" s="72"/>
      <c r="AZ94" s="72"/>
      <c r="BA94" s="72"/>
      <c r="BB94" s="72"/>
      <c r="BC94" s="72"/>
      <c r="BD94" s="72"/>
      <c r="BE94" s="72"/>
      <c r="BF94" s="29"/>
      <c r="BG94" s="105"/>
    </row>
    <row r="95" spans="1:59" ht="24.95" customHeight="1" x14ac:dyDescent="0.2">
      <c r="A95" s="62" t="s">
        <v>63</v>
      </c>
      <c r="B95" s="106"/>
      <c r="C95" s="30"/>
      <c r="D95" s="72"/>
      <c r="E95" s="72"/>
      <c r="F95" s="72"/>
      <c r="G95" s="72"/>
      <c r="H95" s="72"/>
      <c r="I95" s="72"/>
      <c r="J95" s="72"/>
      <c r="K95" s="72"/>
      <c r="L95" s="103"/>
      <c r="M95" s="112"/>
      <c r="P95" s="116" t="s">
        <v>161</v>
      </c>
      <c r="Q95" s="7" t="str">
        <f>IF(ISBLANK($R$51),"I3",$R$51)</f>
        <v>I3</v>
      </c>
      <c r="R95" s="41"/>
      <c r="S95" s="111"/>
      <c r="T95" s="72"/>
      <c r="U95" s="111"/>
      <c r="V95" s="131" t="s">
        <v>167</v>
      </c>
      <c r="W95" s="7" t="str">
        <f>IF(ISBLANK($R$95),"AB1",$R$95)</f>
        <v>AB1</v>
      </c>
      <c r="X95" s="3"/>
      <c r="Y95" s="111"/>
      <c r="Z95" s="72"/>
      <c r="AA95" s="72"/>
      <c r="AB95" s="72"/>
      <c r="AC95" s="72"/>
      <c r="AD95" s="72"/>
      <c r="AE95" s="72"/>
      <c r="AF95" s="80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103"/>
      <c r="AY95" s="72"/>
      <c r="AZ95" s="72"/>
      <c r="BA95" s="72"/>
      <c r="BB95" s="72"/>
      <c r="BC95" s="72"/>
      <c r="BD95" s="72"/>
      <c r="BE95" s="72"/>
      <c r="BF95" s="29"/>
      <c r="BG95" s="105"/>
    </row>
    <row r="96" spans="1:59" ht="24.95" customHeight="1" x14ac:dyDescent="0.2">
      <c r="A96" s="62" t="s">
        <v>70</v>
      </c>
      <c r="B96" s="106"/>
      <c r="C96" s="30"/>
      <c r="D96" s="72"/>
      <c r="E96" s="72"/>
      <c r="F96" s="72"/>
      <c r="G96" s="72"/>
      <c r="H96" s="72"/>
      <c r="I96" s="72"/>
      <c r="J96" s="72"/>
      <c r="K96" s="72"/>
      <c r="L96" s="103"/>
      <c r="M96" s="112"/>
      <c r="P96" s="117"/>
      <c r="Q96" s="8" t="str">
        <f>IF(ISBLANK($R$55),"J3",$R$55)</f>
        <v>J3</v>
      </c>
      <c r="R96" s="42"/>
      <c r="S96" s="111"/>
      <c r="T96" s="72"/>
      <c r="U96" s="111"/>
      <c r="V96" s="132"/>
      <c r="W96" s="8" t="str">
        <f>IF(ISBLANK($R$100),"AC2",$R$100)</f>
        <v>AC2</v>
      </c>
      <c r="X96" s="10"/>
      <c r="Y96" s="111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103"/>
      <c r="AY96" s="72"/>
      <c r="AZ96" s="72"/>
      <c r="BA96" s="72"/>
      <c r="BB96" s="72"/>
      <c r="BC96" s="72"/>
      <c r="BD96" s="72"/>
      <c r="BE96" s="72"/>
      <c r="BF96" s="29"/>
      <c r="BG96" s="105"/>
    </row>
    <row r="97" spans="1:59" ht="24.95" customHeight="1" x14ac:dyDescent="0.2">
      <c r="A97" s="62" t="s">
        <v>66</v>
      </c>
      <c r="B97" s="106"/>
      <c r="C97" s="30"/>
      <c r="D97" s="72"/>
      <c r="E97" s="72"/>
      <c r="F97" s="72"/>
      <c r="G97" s="72"/>
      <c r="H97" s="72"/>
      <c r="I97" s="72"/>
      <c r="J97" s="72"/>
      <c r="K97" s="72"/>
      <c r="L97" s="103"/>
      <c r="M97" s="112"/>
      <c r="P97" s="117"/>
      <c r="Q97" s="8" t="str">
        <f>IF(ISBLANK($R$28),"C4",$R$28)</f>
        <v>C4</v>
      </c>
      <c r="R97" s="74"/>
      <c r="S97" s="111"/>
      <c r="T97" s="72"/>
      <c r="U97" s="111"/>
      <c r="V97" s="132"/>
      <c r="W97" s="8" t="str">
        <f>IF(ISBLANK($X$35),"Q3",$X$35)</f>
        <v>Q3</v>
      </c>
      <c r="X97" s="4"/>
      <c r="Y97" s="111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103"/>
      <c r="AY97" s="72"/>
      <c r="AZ97" s="72"/>
      <c r="BA97" s="72"/>
      <c r="BB97" s="72"/>
      <c r="BC97" s="72"/>
      <c r="BD97" s="72"/>
      <c r="BE97" s="72"/>
      <c r="BF97" s="29"/>
      <c r="BG97" s="105"/>
    </row>
    <row r="98" spans="1:59" ht="24.95" customHeight="1" x14ac:dyDescent="0.2">
      <c r="A98" s="62" t="s">
        <v>65</v>
      </c>
      <c r="B98" s="106"/>
      <c r="C98" s="30"/>
      <c r="D98" s="72"/>
      <c r="E98" s="72"/>
      <c r="F98" s="72"/>
      <c r="G98" s="72"/>
      <c r="H98" s="72"/>
      <c r="I98" s="72"/>
      <c r="J98" s="72"/>
      <c r="K98" s="72"/>
      <c r="L98" s="103"/>
      <c r="M98" s="112"/>
      <c r="P98" s="118"/>
      <c r="Q98" s="8" t="str">
        <f>IF(ISBLANK($R$32),"D4",$R$32)</f>
        <v>D4</v>
      </c>
      <c r="R98" s="74"/>
      <c r="S98" s="111"/>
      <c r="T98" s="72"/>
      <c r="U98" s="111"/>
      <c r="V98" s="133"/>
      <c r="W98" s="9" t="str">
        <f>IF(ISBLANK($X$40),"R4",$X$40)</f>
        <v>R4</v>
      </c>
      <c r="X98" s="5"/>
      <c r="Y98" s="111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103"/>
      <c r="AY98" s="72"/>
      <c r="AZ98" s="72"/>
      <c r="BA98" s="72"/>
      <c r="BB98" s="72"/>
      <c r="BC98" s="72"/>
      <c r="BD98" s="72"/>
      <c r="BE98" s="72"/>
      <c r="BF98" s="29"/>
      <c r="BG98" s="105"/>
    </row>
    <row r="99" spans="1:59" ht="24.95" customHeight="1" x14ac:dyDescent="0.2">
      <c r="A99" s="62" t="s">
        <v>67</v>
      </c>
      <c r="B99" s="106"/>
      <c r="C99" s="30"/>
      <c r="D99" s="72"/>
      <c r="E99" s="72"/>
      <c r="F99" s="72"/>
      <c r="G99" s="72"/>
      <c r="H99" s="72"/>
      <c r="I99" s="72"/>
      <c r="J99" s="72"/>
      <c r="K99" s="72"/>
      <c r="L99" s="103"/>
      <c r="M99" s="112"/>
      <c r="P99" s="116" t="s">
        <v>162</v>
      </c>
      <c r="Q99" s="7" t="str">
        <f>IF(ISBLANK($R$59),"K3",$R$59)</f>
        <v>K3</v>
      </c>
      <c r="R99" s="41"/>
      <c r="S99" s="111"/>
      <c r="T99" s="72"/>
      <c r="U99" s="111"/>
      <c r="V99" s="131" t="s">
        <v>168</v>
      </c>
      <c r="W99" s="7" t="str">
        <f>IF(ISBLANK($R$99),"AC1",$R$99)</f>
        <v>AC1</v>
      </c>
      <c r="X99" s="3"/>
      <c r="Y99" s="111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103"/>
      <c r="AY99" s="72"/>
      <c r="AZ99" s="72"/>
      <c r="BA99" s="72"/>
      <c r="BB99" s="72"/>
      <c r="BC99" s="72"/>
      <c r="BD99" s="72"/>
      <c r="BE99" s="72"/>
      <c r="BF99" s="29"/>
      <c r="BG99" s="105"/>
    </row>
    <row r="100" spans="1:59" ht="24.95" customHeight="1" x14ac:dyDescent="0.2">
      <c r="A100" s="62" t="s">
        <v>69</v>
      </c>
      <c r="B100" s="106"/>
      <c r="C100" s="30"/>
      <c r="D100" s="72"/>
      <c r="E100" s="72"/>
      <c r="F100" s="72"/>
      <c r="G100" s="72"/>
      <c r="H100" s="72"/>
      <c r="I100" s="72"/>
      <c r="J100" s="72"/>
      <c r="K100" s="72"/>
      <c r="L100" s="103"/>
      <c r="M100" s="112"/>
      <c r="P100" s="117"/>
      <c r="Q100" s="8" t="str">
        <f>IF(ISBLANK($R$63),"L3",$R$63)</f>
        <v>L3</v>
      </c>
      <c r="R100" s="42"/>
      <c r="S100" s="111"/>
      <c r="T100" s="72"/>
      <c r="U100" s="111"/>
      <c r="V100" s="132"/>
      <c r="W100" s="8" t="str">
        <f>IF(ISBLANK($R$96),"AB2",$R$96)</f>
        <v>AB2</v>
      </c>
      <c r="X100" s="10"/>
      <c r="Y100" s="111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103"/>
      <c r="AY100" s="72"/>
      <c r="AZ100" s="72"/>
      <c r="BA100" s="72"/>
      <c r="BB100" s="72"/>
      <c r="BC100" s="72"/>
      <c r="BD100" s="72"/>
      <c r="BE100" s="72"/>
      <c r="BF100" s="29"/>
      <c r="BG100" s="105"/>
    </row>
    <row r="101" spans="1:59" ht="24.95" customHeight="1" x14ac:dyDescent="0.2">
      <c r="A101" s="62" t="s">
        <v>71</v>
      </c>
      <c r="B101" s="106"/>
      <c r="C101" s="30"/>
      <c r="D101" s="72"/>
      <c r="E101" s="72"/>
      <c r="F101" s="72"/>
      <c r="G101" s="72"/>
      <c r="H101" s="72"/>
      <c r="I101" s="72"/>
      <c r="J101" s="72"/>
      <c r="K101" s="72"/>
      <c r="L101" s="103"/>
      <c r="M101" s="112"/>
      <c r="P101" s="117"/>
      <c r="Q101" s="8" t="str">
        <f>IF(ISBLANK($R$20),"A4",$R$20)</f>
        <v>A4</v>
      </c>
      <c r="R101" s="74"/>
      <c r="S101" s="111"/>
      <c r="T101" s="72"/>
      <c r="U101" s="111"/>
      <c r="V101" s="132"/>
      <c r="W101" s="8" t="str">
        <f>IF(ISBLANK($X$39),"R3",$X$39)</f>
        <v>R3</v>
      </c>
      <c r="X101" s="4"/>
      <c r="Y101" s="111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103"/>
      <c r="AY101" s="72"/>
      <c r="AZ101" s="72"/>
      <c r="BA101" s="72"/>
      <c r="BB101" s="72"/>
      <c r="BC101" s="72"/>
      <c r="BD101" s="72"/>
      <c r="BE101" s="72"/>
      <c r="BF101" s="29"/>
      <c r="BG101" s="105"/>
    </row>
    <row r="102" spans="1:59" ht="24.95" customHeight="1" x14ac:dyDescent="0.2">
      <c r="A102" s="62" t="s">
        <v>68</v>
      </c>
      <c r="B102" s="106"/>
      <c r="C102" s="30"/>
      <c r="D102" s="72"/>
      <c r="E102" s="72"/>
      <c r="F102" s="72"/>
      <c r="G102" s="72"/>
      <c r="H102" s="72"/>
      <c r="I102" s="72"/>
      <c r="J102" s="72"/>
      <c r="K102" s="72"/>
      <c r="L102" s="103"/>
      <c r="M102" s="158"/>
      <c r="P102" s="118"/>
      <c r="Q102" s="8" t="str">
        <f>IF(ISBLANK($R$24),"B4",$R$24)</f>
        <v>B4</v>
      </c>
      <c r="R102" s="74"/>
      <c r="S102" s="119"/>
      <c r="T102" s="72"/>
      <c r="U102" s="119"/>
      <c r="V102" s="133"/>
      <c r="W102" s="9" t="str">
        <f>IF(ISBLANK($X$36),"Q4",$X$36)</f>
        <v>Q4</v>
      </c>
      <c r="X102" s="5"/>
      <c r="Y102" s="119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103"/>
      <c r="AY102" s="72"/>
      <c r="AZ102" s="72"/>
      <c r="BA102" s="72"/>
      <c r="BB102" s="72"/>
      <c r="BC102" s="72"/>
      <c r="BD102" s="72"/>
      <c r="BE102" s="72"/>
      <c r="BF102" s="29"/>
      <c r="BG102" s="105"/>
    </row>
    <row r="103" spans="1:59" ht="24.95" customHeight="1" x14ac:dyDescent="0.2">
      <c r="A103" s="62" t="s">
        <v>64</v>
      </c>
      <c r="B103" s="106"/>
      <c r="C103" s="30"/>
      <c r="D103" s="72"/>
      <c r="E103" s="72"/>
      <c r="F103" s="72"/>
      <c r="G103" s="72"/>
      <c r="H103" s="72"/>
      <c r="I103" s="72"/>
      <c r="J103" s="72"/>
      <c r="K103" s="72"/>
      <c r="L103" s="103"/>
      <c r="M103" s="107"/>
      <c r="N103" s="107"/>
      <c r="O103" s="107"/>
      <c r="P103" s="107"/>
      <c r="Q103" s="107"/>
      <c r="R103" s="107"/>
      <c r="S103" s="108"/>
      <c r="T103" s="72"/>
      <c r="U103" s="109"/>
      <c r="V103" s="107"/>
      <c r="W103" s="107"/>
      <c r="X103" s="107"/>
      <c r="Y103" s="108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103"/>
      <c r="AY103" s="72"/>
      <c r="AZ103" s="72"/>
      <c r="BA103" s="72"/>
      <c r="BB103" s="72"/>
      <c r="BC103" s="72"/>
      <c r="BD103" s="72"/>
      <c r="BE103" s="72"/>
      <c r="BF103" s="29"/>
      <c r="BG103" s="105"/>
    </row>
    <row r="104" spans="1:59" ht="24.95" customHeight="1" x14ac:dyDescent="0.2">
      <c r="A104" s="62" t="s">
        <v>241</v>
      </c>
      <c r="B104" s="106"/>
      <c r="C104" s="30"/>
      <c r="D104" s="72"/>
      <c r="E104" s="72"/>
      <c r="F104" s="72"/>
      <c r="G104" s="72"/>
      <c r="H104" s="72"/>
      <c r="I104" s="72"/>
      <c r="J104" s="72"/>
      <c r="K104" s="72"/>
      <c r="L104" s="103"/>
      <c r="M104" s="80"/>
      <c r="N104" s="72"/>
      <c r="O104" s="72"/>
      <c r="P104" s="79"/>
      <c r="Q104" s="73"/>
      <c r="R104" s="76"/>
      <c r="S104" s="80"/>
      <c r="T104" s="72"/>
      <c r="U104" s="80"/>
      <c r="V104" s="79"/>
      <c r="W104" s="73"/>
      <c r="X104" s="76"/>
      <c r="Y104" s="80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103"/>
      <c r="AY104" s="72"/>
      <c r="AZ104" s="72"/>
      <c r="BA104" s="72"/>
      <c r="BB104" s="72"/>
      <c r="BC104" s="72"/>
      <c r="BD104" s="72"/>
      <c r="BE104" s="72"/>
      <c r="BF104" s="29"/>
      <c r="BG104" s="105"/>
    </row>
    <row r="105" spans="1:59" ht="24.95" customHeight="1" thickBot="1" x14ac:dyDescent="0.3">
      <c r="A105" s="83"/>
      <c r="B105" s="106"/>
      <c r="C105" s="86"/>
      <c r="D105" s="87"/>
      <c r="E105" s="87"/>
      <c r="F105" s="87"/>
      <c r="G105" s="87"/>
      <c r="H105" s="87"/>
      <c r="I105" s="87"/>
      <c r="J105" s="87"/>
      <c r="K105" s="87"/>
      <c r="L105" s="104"/>
      <c r="M105" s="134"/>
      <c r="N105" s="134"/>
      <c r="O105" s="134"/>
      <c r="P105" s="134"/>
      <c r="Q105" s="134"/>
      <c r="R105" s="134"/>
      <c r="S105" s="134"/>
      <c r="T105" s="87"/>
      <c r="U105" s="134"/>
      <c r="V105" s="134"/>
      <c r="W105" s="134"/>
      <c r="X105" s="134"/>
      <c r="Y105" s="134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104"/>
      <c r="AY105" s="87"/>
      <c r="AZ105" s="87"/>
      <c r="BA105" s="87"/>
      <c r="BB105" s="87"/>
      <c r="BC105" s="87"/>
      <c r="BD105" s="87"/>
      <c r="BE105" s="87"/>
      <c r="BF105" s="88"/>
      <c r="BG105" s="105"/>
    </row>
    <row r="106" spans="1:59" ht="24.95" customHeight="1" x14ac:dyDescent="0.2">
      <c r="A106" s="99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1"/>
    </row>
    <row r="107" spans="1:59" ht="24.95" hidden="1" customHeight="1" x14ac:dyDescent="0.25">
      <c r="A107" s="61"/>
    </row>
    <row r="108" spans="1:59" ht="24.95" hidden="1" customHeight="1" x14ac:dyDescent="0.25">
      <c r="A108" s="61"/>
    </row>
    <row r="109" spans="1:59" ht="24.95" hidden="1" customHeight="1" x14ac:dyDescent="0.25">
      <c r="A109" s="61"/>
    </row>
    <row r="110" spans="1:59" ht="24.95" hidden="1" customHeight="1" x14ac:dyDescent="0.25">
      <c r="A110" s="61"/>
    </row>
    <row r="111" spans="1:59" ht="24.95" hidden="1" customHeight="1" x14ac:dyDescent="0.25">
      <c r="A111" s="61"/>
    </row>
    <row r="112" spans="1:59" ht="24.95" hidden="1" customHeight="1" x14ac:dyDescent="0.25">
      <c r="A112" s="61"/>
    </row>
    <row r="113" spans="1:1" ht="24.95" hidden="1" customHeight="1" x14ac:dyDescent="0.25">
      <c r="A113" s="61"/>
    </row>
    <row r="114" spans="1:1" ht="24.95" hidden="1" customHeight="1" x14ac:dyDescent="0.25">
      <c r="A114" s="61"/>
    </row>
    <row r="115" spans="1:1" ht="24.95" hidden="1" customHeight="1" x14ac:dyDescent="0.25">
      <c r="A115" s="61"/>
    </row>
    <row r="116" spans="1:1" ht="24.95" hidden="1" customHeight="1" x14ac:dyDescent="0.25">
      <c r="A116" s="61"/>
    </row>
    <row r="117" spans="1:1" ht="24.95" hidden="1" customHeight="1" x14ac:dyDescent="0.25">
      <c r="A117" s="61"/>
    </row>
    <row r="118" spans="1:1" ht="24.95" hidden="1" customHeight="1" x14ac:dyDescent="0.25">
      <c r="A118" s="61"/>
    </row>
    <row r="119" spans="1:1" ht="24.95" hidden="1" customHeight="1" x14ac:dyDescent="0.25">
      <c r="A119" s="61"/>
    </row>
    <row r="120" spans="1:1" ht="24.95" hidden="1" customHeight="1" x14ac:dyDescent="0.25">
      <c r="A120" s="61"/>
    </row>
    <row r="121" spans="1:1" ht="24.95" hidden="1" customHeight="1" x14ac:dyDescent="0.25">
      <c r="A121" s="61"/>
    </row>
    <row r="122" spans="1:1" ht="24.95" hidden="1" customHeight="1" x14ac:dyDescent="0.25">
      <c r="A122" s="61"/>
    </row>
    <row r="123" spans="1:1" ht="24.95" hidden="1" customHeight="1" x14ac:dyDescent="0.25">
      <c r="A123" s="61"/>
    </row>
    <row r="124" spans="1:1" ht="24.95" hidden="1" customHeight="1" x14ac:dyDescent="0.25">
      <c r="A124" s="61"/>
    </row>
    <row r="125" spans="1:1" ht="24.95" hidden="1" customHeight="1" x14ac:dyDescent="0.25">
      <c r="A125" s="61"/>
    </row>
    <row r="126" spans="1:1" ht="24.95" hidden="1" customHeight="1" x14ac:dyDescent="0.25">
      <c r="A126" s="61"/>
    </row>
    <row r="127" spans="1:1" ht="24.95" hidden="1" customHeight="1" x14ac:dyDescent="0.2"/>
    <row r="128" spans="1:1" ht="24.95" hidden="1" customHeight="1" x14ac:dyDescent="0.2"/>
    <row r="129" ht="24.95" hidden="1" customHeight="1" x14ac:dyDescent="0.2"/>
    <row r="130" ht="24.95" hidden="1" customHeight="1" x14ac:dyDescent="0.2"/>
    <row r="131" ht="24.95" hidden="1" customHeight="1" x14ac:dyDescent="0.2"/>
    <row r="132" ht="24.95" hidden="1" customHeight="1" x14ac:dyDescent="0.2"/>
    <row r="133" ht="24.95" hidden="1" customHeight="1" x14ac:dyDescent="0.2"/>
    <row r="134" ht="24.95" hidden="1" customHeight="1" x14ac:dyDescent="0.2"/>
    <row r="135" ht="24.95" hidden="1" customHeight="1" x14ac:dyDescent="0.2"/>
    <row r="136" ht="24.95" hidden="1" customHeight="1" x14ac:dyDescent="0.2"/>
    <row r="137" ht="24.95" hidden="1" customHeight="1" x14ac:dyDescent="0.2"/>
    <row r="138" ht="24.95" hidden="1" customHeight="1" x14ac:dyDescent="0.2"/>
    <row r="139" ht="24.95" hidden="1" customHeight="1" x14ac:dyDescent="0.2"/>
    <row r="140" ht="24.95" hidden="1" customHeight="1" x14ac:dyDescent="0.2"/>
    <row r="141" ht="24.95" hidden="1" customHeight="1" x14ac:dyDescent="0.2"/>
    <row r="142" ht="24.95" hidden="1" customHeight="1" x14ac:dyDescent="0.2"/>
    <row r="143" ht="24.95" hidden="1" customHeight="1" x14ac:dyDescent="0.2"/>
    <row r="144" ht="24.95" hidden="1" customHeight="1" x14ac:dyDescent="0.2"/>
    <row r="145" spans="1:1" ht="24.95" hidden="1" customHeight="1" x14ac:dyDescent="0.2"/>
    <row r="146" spans="1:1" ht="24.95" hidden="1" customHeight="1" x14ac:dyDescent="0.2"/>
    <row r="147" spans="1:1" ht="24.95" hidden="1" customHeight="1" x14ac:dyDescent="0.2"/>
    <row r="148" spans="1:1" ht="24.95" hidden="1" customHeight="1" x14ac:dyDescent="0.2"/>
    <row r="149" spans="1:1" ht="30" hidden="1" customHeight="1" x14ac:dyDescent="0.2"/>
    <row r="150" spans="1:1" ht="14.25" hidden="1" customHeight="1" x14ac:dyDescent="0.2">
      <c r="A150" s="62" t="s">
        <v>97</v>
      </c>
    </row>
  </sheetData>
  <mergeCells count="137">
    <mergeCell ref="AX2:AX105"/>
    <mergeCell ref="M5:AW7"/>
    <mergeCell ref="AY83:BC83"/>
    <mergeCell ref="AZ35:BE35"/>
    <mergeCell ref="I7:J7"/>
    <mergeCell ref="C8:K8"/>
    <mergeCell ref="V91:V94"/>
    <mergeCell ref="P95:P98"/>
    <mergeCell ref="V95:V98"/>
    <mergeCell ref="AB87:AB90"/>
    <mergeCell ref="AA77:AA90"/>
    <mergeCell ref="P91:P94"/>
    <mergeCell ref="AE77:AE90"/>
    <mergeCell ref="AA91:AE91"/>
    <mergeCell ref="AT79:AT82"/>
    <mergeCell ref="V87:V90"/>
    <mergeCell ref="P37:P40"/>
    <mergeCell ref="P33:P36"/>
    <mergeCell ref="V17:V20"/>
    <mergeCell ref="V21:V24"/>
    <mergeCell ref="P41:P44"/>
    <mergeCell ref="P45:P48"/>
    <mergeCell ref="M14:S14"/>
    <mergeCell ref="U14:Y14"/>
    <mergeCell ref="AM11:AQ13"/>
    <mergeCell ref="AG25:AK25"/>
    <mergeCell ref="P79:P82"/>
    <mergeCell ref="U11:Y13"/>
    <mergeCell ref="AS73:AW75"/>
    <mergeCell ref="AS76:AW76"/>
    <mergeCell ref="AU77:AV77"/>
    <mergeCell ref="AM73:AQ75"/>
    <mergeCell ref="M73:S75"/>
    <mergeCell ref="AA76:AE76"/>
    <mergeCell ref="AA73:AE75"/>
    <mergeCell ref="AC77:AD77"/>
    <mergeCell ref="M76:S76"/>
    <mergeCell ref="V25:V28"/>
    <mergeCell ref="W15:X15"/>
    <mergeCell ref="V29:V32"/>
    <mergeCell ref="AB79:AB82"/>
    <mergeCell ref="P57:P60"/>
    <mergeCell ref="P53:P56"/>
    <mergeCell ref="P49:P52"/>
    <mergeCell ref="U76:Y76"/>
    <mergeCell ref="U73:Y75"/>
    <mergeCell ref="W77:X77"/>
    <mergeCell ref="V79:V82"/>
    <mergeCell ref="AB21:AB24"/>
    <mergeCell ref="M68:AW70"/>
    <mergeCell ref="AG73:AK75"/>
    <mergeCell ref="AG76:AK76"/>
    <mergeCell ref="H13:J14"/>
    <mergeCell ref="D13:E14"/>
    <mergeCell ref="D9:E9"/>
    <mergeCell ref="H9:J9"/>
    <mergeCell ref="AG14:AK14"/>
    <mergeCell ref="AA14:AE14"/>
    <mergeCell ref="P99:P102"/>
    <mergeCell ref="M105:S105"/>
    <mergeCell ref="S77:S102"/>
    <mergeCell ref="M77:M102"/>
    <mergeCell ref="M65:S65"/>
    <mergeCell ref="V33:V36"/>
    <mergeCell ref="V37:V40"/>
    <mergeCell ref="U15:U40"/>
    <mergeCell ref="Y15:Y40"/>
    <mergeCell ref="U41:Y41"/>
    <mergeCell ref="P25:P28"/>
    <mergeCell ref="P29:P32"/>
    <mergeCell ref="Q15:R15"/>
    <mergeCell ref="P21:P24"/>
    <mergeCell ref="P17:P20"/>
    <mergeCell ref="M15:M64"/>
    <mergeCell ref="S15:S64"/>
    <mergeCell ref="P61:P64"/>
    <mergeCell ref="P87:P90"/>
    <mergeCell ref="AG77:AG90"/>
    <mergeCell ref="AI77:AJ77"/>
    <mergeCell ref="AK77:AK90"/>
    <mergeCell ref="AH79:AH82"/>
    <mergeCell ref="AH83:AH86"/>
    <mergeCell ref="AH87:AH90"/>
    <mergeCell ref="AG91:AK91"/>
    <mergeCell ref="AN79:AN82"/>
    <mergeCell ref="AN83:AN86"/>
    <mergeCell ref="P83:P86"/>
    <mergeCell ref="V83:V86"/>
    <mergeCell ref="AB83:AB86"/>
    <mergeCell ref="B1:BG1"/>
    <mergeCell ref="AZ25:BE27"/>
    <mergeCell ref="AZ11:BE13"/>
    <mergeCell ref="AY5:BF7"/>
    <mergeCell ref="BA31:BA34"/>
    <mergeCell ref="BA17:BA20"/>
    <mergeCell ref="AZ14:BE14"/>
    <mergeCell ref="AZ21:BE21"/>
    <mergeCell ref="AZ28:BE28"/>
    <mergeCell ref="AZ15:AZ20"/>
    <mergeCell ref="AZ29:AZ34"/>
    <mergeCell ref="BE15:BE20"/>
    <mergeCell ref="BE29:BE34"/>
    <mergeCell ref="AB25:AB28"/>
    <mergeCell ref="AA15:AA28"/>
    <mergeCell ref="AE15:AE28"/>
    <mergeCell ref="AA29:AE29"/>
    <mergeCell ref="AM15:AM20"/>
    <mergeCell ref="AO15:AP15"/>
    <mergeCell ref="AQ15:AQ20"/>
    <mergeCell ref="AA11:AE13"/>
    <mergeCell ref="AC15:AD15"/>
    <mergeCell ref="M11:S13"/>
    <mergeCell ref="C2:K6"/>
    <mergeCell ref="A106:BG106"/>
    <mergeCell ref="L2:L105"/>
    <mergeCell ref="BG2:BG105"/>
    <mergeCell ref="B2:B105"/>
    <mergeCell ref="M103:S103"/>
    <mergeCell ref="U103:Y103"/>
    <mergeCell ref="AK15:AK22"/>
    <mergeCell ref="AG15:AG22"/>
    <mergeCell ref="AG23:AK23"/>
    <mergeCell ref="AH20:AH22"/>
    <mergeCell ref="AH17:AH19"/>
    <mergeCell ref="AM77:AM86"/>
    <mergeCell ref="AQ77:AQ86"/>
    <mergeCell ref="AM14:AQ14"/>
    <mergeCell ref="AN17:AN20"/>
    <mergeCell ref="AM21:AQ21"/>
    <mergeCell ref="AG11:AK13"/>
    <mergeCell ref="AI15:AJ15"/>
    <mergeCell ref="AB17:AB20"/>
    <mergeCell ref="V99:V102"/>
    <mergeCell ref="U105:Y105"/>
    <mergeCell ref="U77:U102"/>
    <mergeCell ref="Y77:Y102"/>
    <mergeCell ref="AS83:AW83"/>
  </mergeCells>
  <phoneticPr fontId="2" type="noConversion"/>
  <conditionalFormatting sqref="Q79">
    <cfRule type="expression" dxfId="135" priority="92">
      <formula>ISBLANK($R$19)</formula>
    </cfRule>
  </conditionalFormatting>
  <conditionalFormatting sqref="Q80">
    <cfRule type="expression" dxfId="134" priority="91">
      <formula>ISBLANK($R$23)</formula>
    </cfRule>
  </conditionalFormatting>
  <conditionalFormatting sqref="Q81">
    <cfRule type="expression" dxfId="133" priority="90">
      <formula>ISBLANK($R$60)</formula>
    </cfRule>
  </conditionalFormatting>
  <conditionalFormatting sqref="Q82">
    <cfRule type="expression" dxfId="132" priority="89">
      <formula>ISBLANK($R$64)</formula>
    </cfRule>
  </conditionalFormatting>
  <conditionalFormatting sqref="Q83">
    <cfRule type="expression" dxfId="131" priority="88">
      <formula>ISBLANK($R$27)</formula>
    </cfRule>
  </conditionalFormatting>
  <conditionalFormatting sqref="Q84">
    <cfRule type="expression" dxfId="130" priority="87">
      <formula>ISBLANK($R$31)</formula>
    </cfRule>
  </conditionalFormatting>
  <conditionalFormatting sqref="Q85">
    <cfRule type="expression" dxfId="129" priority="86">
      <formula>ISBLANK($R$52)</formula>
    </cfRule>
  </conditionalFormatting>
  <conditionalFormatting sqref="Q86">
    <cfRule type="expression" dxfId="128" priority="85">
      <formula>ISBLANK($R$58)</formula>
    </cfRule>
  </conditionalFormatting>
  <conditionalFormatting sqref="Q87">
    <cfRule type="expression" dxfId="127" priority="84">
      <formula>ISBLANK($R$35)</formula>
    </cfRule>
  </conditionalFormatting>
  <conditionalFormatting sqref="Q88">
    <cfRule type="expression" dxfId="126" priority="83">
      <formula>ISBLANK($R$39)</formula>
    </cfRule>
  </conditionalFormatting>
  <conditionalFormatting sqref="Q89">
    <cfRule type="expression" dxfId="125" priority="82">
      <formula>ISBLANK($R$44)</formula>
    </cfRule>
  </conditionalFormatting>
  <conditionalFormatting sqref="Q90">
    <cfRule type="expression" dxfId="124" priority="81">
      <formula>ISBLANK($R$48)</formula>
    </cfRule>
  </conditionalFormatting>
  <conditionalFormatting sqref="Q91">
    <cfRule type="expression" dxfId="123" priority="80">
      <formula>ISBLANK($R$43)</formula>
    </cfRule>
  </conditionalFormatting>
  <conditionalFormatting sqref="Q92">
    <cfRule type="expression" dxfId="122" priority="79">
      <formula>ISBLANK($R$47)</formula>
    </cfRule>
  </conditionalFormatting>
  <conditionalFormatting sqref="Q93">
    <cfRule type="expression" dxfId="121" priority="78">
      <formula>ISBLANK($R$36)</formula>
    </cfRule>
  </conditionalFormatting>
  <conditionalFormatting sqref="Q94">
    <cfRule type="expression" dxfId="120" priority="77">
      <formula>ISBLANK($R$40)</formula>
    </cfRule>
  </conditionalFormatting>
  <conditionalFormatting sqref="Q95">
    <cfRule type="expression" dxfId="119" priority="76">
      <formula>ISBLANK($R$51)</formula>
    </cfRule>
  </conditionalFormatting>
  <conditionalFormatting sqref="Q96">
    <cfRule type="expression" dxfId="118" priority="75">
      <formula>ISBLANK($R$55)</formula>
    </cfRule>
  </conditionalFormatting>
  <conditionalFormatting sqref="Q97">
    <cfRule type="expression" dxfId="117" priority="74">
      <formula>ISBLANK($R$28)</formula>
    </cfRule>
  </conditionalFormatting>
  <conditionalFormatting sqref="Q98">
    <cfRule type="expression" dxfId="116" priority="73">
      <formula>ISBLANK($R$32)</formula>
    </cfRule>
  </conditionalFormatting>
  <conditionalFormatting sqref="Q99">
    <cfRule type="expression" dxfId="115" priority="72">
      <formula>ISBLANK($R$59)</formula>
    </cfRule>
  </conditionalFormatting>
  <conditionalFormatting sqref="Q100">
    <cfRule type="expression" dxfId="114" priority="71">
      <formula>ISBLANK($R$63)</formula>
    </cfRule>
  </conditionalFormatting>
  <conditionalFormatting sqref="Q101">
    <cfRule type="expression" dxfId="113" priority="70">
      <formula>ISBLANK($R$20)</formula>
    </cfRule>
  </conditionalFormatting>
  <conditionalFormatting sqref="Q102">
    <cfRule type="expression" dxfId="112" priority="69">
      <formula>ISBLANK($R$24)</formula>
    </cfRule>
  </conditionalFormatting>
  <conditionalFormatting sqref="W17">
    <cfRule type="expression" dxfId="111" priority="140">
      <formula>ISBLANK($R$17)</formula>
    </cfRule>
  </conditionalFormatting>
  <conditionalFormatting sqref="W18">
    <cfRule type="expression" dxfId="110" priority="139">
      <formula>ISBLANK($R$21)</formula>
    </cfRule>
  </conditionalFormatting>
  <conditionalFormatting sqref="W19">
    <cfRule type="expression" dxfId="109" priority="138">
      <formula>ISBLANK($R$58)</formula>
    </cfRule>
  </conditionalFormatting>
  <conditionalFormatting sqref="W20">
    <cfRule type="expression" dxfId="108" priority="137">
      <formula>ISBLANK($R$62)</formula>
    </cfRule>
  </conditionalFormatting>
  <conditionalFormatting sqref="W21">
    <cfRule type="expression" dxfId="107" priority="136">
      <formula>ISBLANK($R$25)</formula>
    </cfRule>
  </conditionalFormatting>
  <conditionalFormatting sqref="W22">
    <cfRule type="expression" dxfId="106" priority="135">
      <formula>ISBLANK($R$29)</formula>
    </cfRule>
  </conditionalFormatting>
  <conditionalFormatting sqref="W23">
    <cfRule type="expression" dxfId="105" priority="134">
      <formula>ISBLANK($R$50)</formula>
    </cfRule>
  </conditionalFormatting>
  <conditionalFormatting sqref="W24">
    <cfRule type="expression" dxfId="104" priority="133">
      <formula>ISBLANK($R$54)</formula>
    </cfRule>
  </conditionalFormatting>
  <conditionalFormatting sqref="W25">
    <cfRule type="expression" dxfId="103" priority="132">
      <formula>ISBLANK($R$33)</formula>
    </cfRule>
  </conditionalFormatting>
  <conditionalFormatting sqref="W26">
    <cfRule type="expression" dxfId="102" priority="131">
      <formula>ISBLANK($R$37)</formula>
    </cfRule>
  </conditionalFormatting>
  <conditionalFormatting sqref="W27">
    <cfRule type="expression" dxfId="101" priority="130">
      <formula>ISBLANK($R$42)</formula>
    </cfRule>
  </conditionalFormatting>
  <conditionalFormatting sqref="W28">
    <cfRule type="expression" dxfId="100" priority="129">
      <formula>ISBLANK($R$46)</formula>
    </cfRule>
  </conditionalFormatting>
  <conditionalFormatting sqref="W29">
    <cfRule type="expression" dxfId="99" priority="128">
      <formula>ISBLANK($R$41)</formula>
    </cfRule>
  </conditionalFormatting>
  <conditionalFormatting sqref="W30">
    <cfRule type="expression" dxfId="98" priority="127">
      <formula>ISBLANK($R$45)</formula>
    </cfRule>
  </conditionalFormatting>
  <conditionalFormatting sqref="W31">
    <cfRule type="expression" dxfId="97" priority="126">
      <formula>ISBLANK($R$34)</formula>
    </cfRule>
  </conditionalFormatting>
  <conditionalFormatting sqref="W32">
    <cfRule type="expression" dxfId="96" priority="125">
      <formula>ISBLANK($R$38)</formula>
    </cfRule>
  </conditionalFormatting>
  <conditionalFormatting sqref="W33">
    <cfRule type="expression" dxfId="95" priority="124">
      <formula>ISBLANK($R$49)</formula>
    </cfRule>
  </conditionalFormatting>
  <conditionalFormatting sqref="W34">
    <cfRule type="expression" dxfId="94" priority="123">
      <formula>ISBLANK($R$53)</formula>
    </cfRule>
  </conditionalFormatting>
  <conditionalFormatting sqref="W35">
    <cfRule type="expression" dxfId="93" priority="122">
      <formula>ISBLANK($R$26)</formula>
    </cfRule>
  </conditionalFormatting>
  <conditionalFormatting sqref="W36">
    <cfRule type="expression" dxfId="92" priority="121">
      <formula>ISBLANK($R$30)</formula>
    </cfRule>
  </conditionalFormatting>
  <conditionalFormatting sqref="W37">
    <cfRule type="expression" dxfId="91" priority="120">
      <formula>ISBLANK($R$57)</formula>
    </cfRule>
  </conditionalFormatting>
  <conditionalFormatting sqref="W38">
    <cfRule type="expression" dxfId="90" priority="119">
      <formula>ISBLANK($R$61)</formula>
    </cfRule>
  </conditionalFormatting>
  <conditionalFormatting sqref="W39">
    <cfRule type="expression" dxfId="89" priority="118">
      <formula>ISBLANK($R$18)</formula>
    </cfRule>
  </conditionalFormatting>
  <conditionalFormatting sqref="W40">
    <cfRule type="expression" dxfId="88" priority="117">
      <formula>ISBLANK($R$22)</formula>
    </cfRule>
  </conditionalFormatting>
  <conditionalFormatting sqref="W79">
    <cfRule type="expression" dxfId="87" priority="68">
      <formula>ISBLANK($R$79)</formula>
    </cfRule>
  </conditionalFormatting>
  <conditionalFormatting sqref="W80">
    <cfRule type="expression" dxfId="86" priority="67">
      <formula>ISBLANK($R$84)</formula>
    </cfRule>
  </conditionalFormatting>
  <conditionalFormatting sqref="W81">
    <cfRule type="expression" dxfId="85" priority="66">
      <formula>ISBLANK($X19)</formula>
    </cfRule>
  </conditionalFormatting>
  <conditionalFormatting sqref="W82">
    <cfRule type="expression" dxfId="84" priority="65">
      <formula>ISBLANK($X24)</formula>
    </cfRule>
  </conditionalFormatting>
  <conditionalFormatting sqref="W83">
    <cfRule type="expression" dxfId="83" priority="64">
      <formula>ISBLANK($R$83)</formula>
    </cfRule>
  </conditionalFormatting>
  <conditionalFormatting sqref="W84">
    <cfRule type="expression" dxfId="82" priority="63">
      <formula>ISBLANK($R$80)</formula>
    </cfRule>
  </conditionalFormatting>
  <conditionalFormatting sqref="W85">
    <cfRule type="expression" dxfId="81" priority="62">
      <formula>ISBLANK($X23)</formula>
    </cfRule>
  </conditionalFormatting>
  <conditionalFormatting sqref="W86">
    <cfRule type="expression" dxfId="80" priority="61">
      <formula>ISBLANK($X20)</formula>
    </cfRule>
  </conditionalFormatting>
  <conditionalFormatting sqref="W87">
    <cfRule type="expression" dxfId="79" priority="60">
      <formula>ISBLANK($R$87)</formula>
    </cfRule>
  </conditionalFormatting>
  <conditionalFormatting sqref="W88">
    <cfRule type="expression" dxfId="78" priority="59">
      <formula>ISBLANK($R$92)</formula>
    </cfRule>
  </conditionalFormatting>
  <conditionalFormatting sqref="W89">
    <cfRule type="expression" dxfId="77" priority="58">
      <formula>ISBLANK($X27)</formula>
    </cfRule>
  </conditionalFormatting>
  <conditionalFormatting sqref="W90">
    <cfRule type="expression" dxfId="76" priority="57">
      <formula>ISBLANK($X32)</formula>
    </cfRule>
  </conditionalFormatting>
  <conditionalFormatting sqref="W91">
    <cfRule type="expression" dxfId="75" priority="56">
      <formula>ISBLANK($R$91)</formula>
    </cfRule>
  </conditionalFormatting>
  <conditionalFormatting sqref="W92">
    <cfRule type="expression" dxfId="74" priority="55">
      <formula>ISBLANK($R$88)</formula>
    </cfRule>
  </conditionalFormatting>
  <conditionalFormatting sqref="W93">
    <cfRule type="expression" dxfId="73" priority="54">
      <formula>ISBLANK($X$31)</formula>
    </cfRule>
  </conditionalFormatting>
  <conditionalFormatting sqref="W94">
    <cfRule type="expression" dxfId="72" priority="53">
      <formula>ISBLANK($X28)</formula>
    </cfRule>
  </conditionalFormatting>
  <conditionalFormatting sqref="W95">
    <cfRule type="expression" dxfId="71" priority="52">
      <formula>ISBLANK($R$95)</formula>
    </cfRule>
  </conditionalFormatting>
  <conditionalFormatting sqref="W96">
    <cfRule type="expression" dxfId="70" priority="51">
      <formula>ISBLANK($R$100)</formula>
    </cfRule>
  </conditionalFormatting>
  <conditionalFormatting sqref="W97">
    <cfRule type="expression" dxfId="69" priority="50">
      <formula>ISBLANK($X35)</formula>
    </cfRule>
  </conditionalFormatting>
  <conditionalFormatting sqref="W98">
    <cfRule type="expression" dxfId="68" priority="49">
      <formula>ISBLANK($X40)</formula>
    </cfRule>
  </conditionalFormatting>
  <conditionalFormatting sqref="W99">
    <cfRule type="expression" dxfId="67" priority="48">
      <formula>ISBLANK($R$99)</formula>
    </cfRule>
  </conditionalFormatting>
  <conditionalFormatting sqref="W100">
    <cfRule type="expression" dxfId="66" priority="47">
      <formula>ISBLANK($R$96)</formula>
    </cfRule>
  </conditionalFormatting>
  <conditionalFormatting sqref="W101">
    <cfRule type="expression" dxfId="65" priority="46">
      <formula>ISBLANK($X39)</formula>
    </cfRule>
  </conditionalFormatting>
  <conditionalFormatting sqref="W102">
    <cfRule type="expression" dxfId="64" priority="45">
      <formula>ISBLANK($X36)</formula>
    </cfRule>
  </conditionalFormatting>
  <conditionalFormatting sqref="AC17">
    <cfRule type="expression" dxfId="63" priority="116">
      <formula>ISBLANK($X$17)</formula>
    </cfRule>
  </conditionalFormatting>
  <conditionalFormatting sqref="AC18">
    <cfRule type="expression" dxfId="62" priority="115">
      <formula>ISBLANK($X$21)</formula>
    </cfRule>
  </conditionalFormatting>
  <conditionalFormatting sqref="AC19">
    <cfRule type="expression" dxfId="61" priority="114">
      <formula>ISBLANK($X$26)</formula>
    </cfRule>
  </conditionalFormatting>
  <conditionalFormatting sqref="AC20">
    <cfRule type="expression" dxfId="60" priority="113">
      <formula>ISBLANK($X$30)</formula>
    </cfRule>
  </conditionalFormatting>
  <conditionalFormatting sqref="AC21">
    <cfRule type="expression" dxfId="59" priority="112">
      <formula>ISBLANK($X$25)</formula>
    </cfRule>
  </conditionalFormatting>
  <conditionalFormatting sqref="AC22">
    <cfRule type="expression" dxfId="58" priority="111">
      <formula>ISBLANK($X$29)</formula>
    </cfRule>
  </conditionalFormatting>
  <conditionalFormatting sqref="AC23">
    <cfRule type="expression" dxfId="57" priority="110">
      <formula>ISBLANK($X$34)</formula>
    </cfRule>
  </conditionalFormatting>
  <conditionalFormatting sqref="AC24">
    <cfRule type="expression" dxfId="56" priority="109">
      <formula>ISBLANK($X$38)</formula>
    </cfRule>
  </conditionalFormatting>
  <conditionalFormatting sqref="AC25">
    <cfRule type="expression" dxfId="55" priority="108">
      <formula>ISBLANK($X$33)</formula>
    </cfRule>
  </conditionalFormatting>
  <conditionalFormatting sqref="AC26">
    <cfRule type="expression" dxfId="54" priority="107">
      <formula>ISBLANK($X$37)</formula>
    </cfRule>
  </conditionalFormatting>
  <conditionalFormatting sqref="AC27">
    <cfRule type="expression" dxfId="53" priority="106">
      <formula>ISBLANK($X$18)</formula>
    </cfRule>
  </conditionalFormatting>
  <conditionalFormatting sqref="AC28">
    <cfRule type="expression" dxfId="52" priority="105">
      <formula>ISBLANK($X$22)</formula>
    </cfRule>
  </conditionalFormatting>
  <conditionalFormatting sqref="AC79">
    <cfRule type="expression" dxfId="51" priority="44">
      <formula>ISBLANK($X$79)</formula>
    </cfRule>
  </conditionalFormatting>
  <conditionalFormatting sqref="AC80">
    <cfRule type="expression" dxfId="50" priority="43">
      <formula>ISBLANK($X$83)</formula>
    </cfRule>
  </conditionalFormatting>
  <conditionalFormatting sqref="AC81">
    <cfRule type="expression" dxfId="49" priority="42">
      <formula>ISBLANK($X$88)</formula>
    </cfRule>
  </conditionalFormatting>
  <conditionalFormatting sqref="AC82">
    <cfRule type="expression" dxfId="48" priority="41">
      <formula>ISBLANK($X$92)</formula>
    </cfRule>
  </conditionalFormatting>
  <conditionalFormatting sqref="AC83">
    <cfRule type="expression" dxfId="47" priority="40">
      <formula>ISBLANK($X$87)</formula>
    </cfRule>
  </conditionalFormatting>
  <conditionalFormatting sqref="AC84">
    <cfRule type="expression" dxfId="46" priority="39">
      <formula>ISBLANK($X$91)</formula>
    </cfRule>
  </conditionalFormatting>
  <conditionalFormatting sqref="AC85">
    <cfRule type="expression" dxfId="45" priority="38">
      <formula>ISBLANK($X$96)</formula>
    </cfRule>
  </conditionalFormatting>
  <conditionalFormatting sqref="AC86">
    <cfRule type="expression" dxfId="44" priority="37">
      <formula>ISBLANK($X$100)</formula>
    </cfRule>
  </conditionalFormatting>
  <conditionalFormatting sqref="AC87">
    <cfRule type="expression" dxfId="43" priority="36">
      <formula>ISBLANK($X$95)</formula>
    </cfRule>
  </conditionalFormatting>
  <conditionalFormatting sqref="AC88">
    <cfRule type="expression" dxfId="42" priority="35">
      <formula>ISBLANK($X$99)</formula>
    </cfRule>
  </conditionalFormatting>
  <conditionalFormatting sqref="AC89">
    <cfRule type="expression" dxfId="41" priority="34">
      <formula>ISBLANK($X$80)</formula>
    </cfRule>
  </conditionalFormatting>
  <conditionalFormatting sqref="AC90">
    <cfRule type="expression" dxfId="40" priority="33">
      <formula>ISBLANK($X$84)</formula>
    </cfRule>
  </conditionalFormatting>
  <conditionalFormatting sqref="AI17">
    <cfRule type="expression" dxfId="39" priority="104">
      <formula>ISBLANK($AD$17)</formula>
    </cfRule>
  </conditionalFormatting>
  <conditionalFormatting sqref="AI18">
    <cfRule type="expression" dxfId="38" priority="103">
      <formula>ISBLANK($AD$21)</formula>
    </cfRule>
  </conditionalFormatting>
  <conditionalFormatting sqref="AI19">
    <cfRule type="expression" dxfId="37" priority="102">
      <formula>ISBLANK($AD$26)</formula>
    </cfRule>
  </conditionalFormatting>
  <conditionalFormatting sqref="AI20">
    <cfRule type="expression" dxfId="36" priority="101">
      <formula>ISBLANK($AD$25)</formula>
    </cfRule>
  </conditionalFormatting>
  <conditionalFormatting sqref="AI21">
    <cfRule type="expression" dxfId="35" priority="100">
      <formula>ISBLANK($AD$18)</formula>
    </cfRule>
  </conditionalFormatting>
  <conditionalFormatting sqref="AI22">
    <cfRule type="expression" dxfId="34" priority="99">
      <formula>ISBLANK($AD$22)</formula>
    </cfRule>
  </conditionalFormatting>
  <conditionalFormatting sqref="AI79">
    <cfRule type="expression" dxfId="33" priority="32">
      <formula>ISBLANK($AD$79)</formula>
    </cfRule>
  </conditionalFormatting>
  <conditionalFormatting sqref="AI80">
    <cfRule type="expression" dxfId="32" priority="31">
      <formula>ISBLANK($AD$88)</formula>
    </cfRule>
  </conditionalFormatting>
  <conditionalFormatting sqref="AI81">
    <cfRule type="expression" dxfId="31" priority="30">
      <formula>ISBLANK($AD$19)</formula>
    </cfRule>
  </conditionalFormatting>
  <conditionalFormatting sqref="AI82">
    <cfRule type="expression" dxfId="30" priority="29">
      <formula>ISBLANK($AD$28)</formula>
    </cfRule>
  </conditionalFormatting>
  <conditionalFormatting sqref="AI83">
    <cfRule type="expression" dxfId="29" priority="28">
      <formula>ISBLANK($AD$83)</formula>
    </cfRule>
  </conditionalFormatting>
  <conditionalFormatting sqref="AI84">
    <cfRule type="expression" dxfId="28" priority="27">
      <formula>ISBLANK($AD$80)</formula>
    </cfRule>
  </conditionalFormatting>
  <conditionalFormatting sqref="AI85">
    <cfRule type="expression" dxfId="27" priority="26">
      <formula>ISBLANK($AD$23)</formula>
    </cfRule>
  </conditionalFormatting>
  <conditionalFormatting sqref="AI86">
    <cfRule type="expression" dxfId="26" priority="25">
      <formula>ISBLANK($AD$20)</formula>
    </cfRule>
  </conditionalFormatting>
  <conditionalFormatting sqref="AI87">
    <cfRule type="expression" dxfId="25" priority="24">
      <formula>ISBLANK($AD$87)</formula>
    </cfRule>
  </conditionalFormatting>
  <conditionalFormatting sqref="AI88">
    <cfRule type="expression" dxfId="24" priority="23">
      <formula>ISBLANK($AD$84)</formula>
    </cfRule>
  </conditionalFormatting>
  <conditionalFormatting sqref="AI89">
    <cfRule type="expression" dxfId="23" priority="22">
      <formula>ISBLANK($AD$27)</formula>
    </cfRule>
  </conditionalFormatting>
  <conditionalFormatting sqref="AI90">
    <cfRule type="expression" dxfId="22" priority="21">
      <formula>ISBLANK($AD$24)</formula>
    </cfRule>
  </conditionalFormatting>
  <conditionalFormatting sqref="AO17">
    <cfRule type="expression" dxfId="21" priority="96">
      <formula>ISBLANK($AJ$17)</formula>
    </cfRule>
  </conditionalFormatting>
  <conditionalFormatting sqref="AO18">
    <cfRule type="expression" dxfId="20" priority="95">
      <formula>ISBLANK($AJ$20)</formula>
    </cfRule>
  </conditionalFormatting>
  <conditionalFormatting sqref="AO19">
    <cfRule type="expression" dxfId="19" priority="94">
      <formula>ISBLANK($AJ$18)</formula>
    </cfRule>
  </conditionalFormatting>
  <conditionalFormatting sqref="AO20">
    <cfRule type="expression" dxfId="18" priority="93">
      <formula>ISBLANK($AJ$21)</formula>
    </cfRule>
  </conditionalFormatting>
  <conditionalFormatting sqref="AO79">
    <cfRule type="expression" dxfId="17" priority="20">
      <formula>ISBLANK($AJ$79)</formula>
    </cfRule>
  </conditionalFormatting>
  <conditionalFormatting sqref="AO80">
    <cfRule type="expression" dxfId="16" priority="19">
      <formula>ISBLANK($AJ$83)</formula>
    </cfRule>
  </conditionalFormatting>
  <conditionalFormatting sqref="AO81">
    <cfRule type="expression" dxfId="15" priority="18">
      <formula>ISBLANK($AJ$88)</formula>
    </cfRule>
  </conditionalFormatting>
  <conditionalFormatting sqref="AO82">
    <cfRule type="expression" dxfId="14" priority="17">
      <formula>ISBLANK($AJ$19)</formula>
    </cfRule>
  </conditionalFormatting>
  <conditionalFormatting sqref="AO83">
    <cfRule type="expression" dxfId="13" priority="16">
      <formula>ISBLANK($AJ$87)</formula>
    </cfRule>
  </conditionalFormatting>
  <conditionalFormatting sqref="AO84">
    <cfRule type="expression" dxfId="12" priority="15">
      <formula>ISBLANK($AJ$80)</formula>
    </cfRule>
  </conditionalFormatting>
  <conditionalFormatting sqref="AO85">
    <cfRule type="expression" dxfId="11" priority="14">
      <formula>ISBLANK($AJ$84)</formula>
    </cfRule>
  </conditionalFormatting>
  <conditionalFormatting sqref="AO86">
    <cfRule type="expression" dxfId="10" priority="13">
      <formula>ISBLANK($AJ$22)</formula>
    </cfRule>
  </conditionalFormatting>
  <conditionalFormatting sqref="AU79">
    <cfRule type="expression" dxfId="9" priority="12">
      <formula>ISBLANK($AP$79)</formula>
    </cfRule>
  </conditionalFormatting>
  <conditionalFormatting sqref="AU80">
    <cfRule type="expression" dxfId="8" priority="11">
      <formula>ISBLANK($AP$83)</formula>
    </cfRule>
  </conditionalFormatting>
  <conditionalFormatting sqref="AU81">
    <cfRule type="expression" dxfId="7" priority="10">
      <formula>ISBLANK($AP$19)</formula>
    </cfRule>
  </conditionalFormatting>
  <conditionalFormatting sqref="AU82">
    <cfRule type="expression" dxfId="6" priority="9">
      <formula>ISBLANK($AP$20)</formula>
    </cfRule>
  </conditionalFormatting>
  <conditionalFormatting sqref="BB17">
    <cfRule type="expression" dxfId="5" priority="8">
      <formula>ISBLANK($AP$17)</formula>
    </cfRule>
  </conditionalFormatting>
  <conditionalFormatting sqref="BB18">
    <cfRule type="expression" dxfId="4" priority="7">
      <formula>ISBLANK($AP$18)</formula>
    </cfRule>
  </conditionalFormatting>
  <conditionalFormatting sqref="BB19:BB20">
    <cfRule type="expression" dxfId="3" priority="5">
      <formula>ISBLANK($AV79)</formula>
    </cfRule>
  </conditionalFormatting>
  <conditionalFormatting sqref="BB31:BB32">
    <cfRule type="expression" dxfId="2" priority="3">
      <formula>ISBLANK($AV81)</formula>
    </cfRule>
  </conditionalFormatting>
  <conditionalFormatting sqref="BB33">
    <cfRule type="expression" dxfId="1" priority="2">
      <formula>ISBLANK($AP$80)</formula>
    </cfRule>
  </conditionalFormatting>
  <conditionalFormatting sqref="BB34">
    <cfRule type="expression" dxfId="0" priority="1">
      <formula>ISBLANK($AP$84)</formula>
    </cfRule>
  </conditionalFormatting>
  <dataValidations count="56">
    <dataValidation type="whole" showInputMessage="1" showErrorMessage="1" errorTitle="Valeur rentrée" error="Valeur entre 0 et 2 uniquement" sqref="G18:G49 F32:F41 F57:F81 F9:F16" xr:uid="{4A302F6D-6855-4F98-88B3-AE0D66E2021D}">
      <formula1>0</formula1>
      <formula2>2</formula2>
    </dataValidation>
    <dataValidation type="list" allowBlank="1" showInputMessage="1" showErrorMessage="1" errorTitle="Valeur incorrecte" error="Valeurs autorisés :_x000a_    50cc_x000a_    100cc_x000a_    150cc_x000a_    Miroir_x000a_    200cc" sqref="D9" xr:uid="{DC80FC5B-8596-4AD0-8969-EAD810F04F01}">
      <formula1>"50cc,100cc,150cc,Miroir,200cc"</formula1>
    </dataValidation>
    <dataValidation type="list" allowBlank="1" showInputMessage="1" showErrorMessage="1" errorTitle="Valeur incorrecte" error="Valeurs autorisés :_x000a_    Facile_x000a_    Normal_x000a_    Difficile" sqref="H9" xr:uid="{17788EEE-180C-47AE-A473-B71B52606621}">
      <formula1>"Facile,Normal,Difficile"</formula1>
    </dataValidation>
    <dataValidation type="list" allowBlank="1" showInputMessage="1" showErrorMessage="1" errorTitle="Valeur incorrecte" error="Valeurs autorisées :_x000a_    4_x000a_    6_x000a_    8_x000a_    12_x000a_    16_x000a_    24_x000a_    48" sqref="P15 AN15 AH15 P77 V77 AB77 BA15 BA29 V15 AB15 AN77 AT77 AH77" xr:uid="{79285C18-4B82-4B6A-BDA5-70BFC684EB6F}">
      <formula1>"4,6,8,12,16,24,48"</formula1>
    </dataValidation>
    <dataValidation type="list" allowBlank="1" showInputMessage="1" showErrorMessage="1" sqref="R17:R20" xr:uid="{353406DA-03E0-45A5-A27C-0364CBBA46A0}">
      <formula1>$Q$17:$Q$20</formula1>
    </dataValidation>
    <dataValidation type="list" allowBlank="1" showInputMessage="1" showErrorMessage="1" sqref="R21:R24" xr:uid="{113660A4-5E44-48F7-BA2B-3EDDA5F596FC}">
      <formula1>$Q$21:$Q$24</formula1>
    </dataValidation>
    <dataValidation type="list" allowBlank="1" showInputMessage="1" showErrorMessage="1" sqref="R25:R28" xr:uid="{9AF45A9A-4373-4D16-A6FF-F435E632E935}">
      <formula1>$Q$25:$Q$28</formula1>
    </dataValidation>
    <dataValidation type="list" allowBlank="1" showInputMessage="1" showErrorMessage="1" sqref="R29:R32" xr:uid="{B1EBD471-A081-4C14-9475-9B6665093C97}">
      <formula1>$Q$29:$Q$32</formula1>
    </dataValidation>
    <dataValidation type="list" allowBlank="1" showInputMessage="1" showErrorMessage="1" sqref="AJ24" xr:uid="{BB13C608-9D23-4977-8B27-7674F5BB75E7}">
      <formula1>$AI$17:$AI$20</formula1>
    </dataValidation>
    <dataValidation type="list" allowBlank="1" showInputMessage="1" showErrorMessage="1" sqref="R79:R82" xr:uid="{00D7A44C-B7EE-4AAD-978E-18DFEE660C65}">
      <formula1>$Q$79:$Q$82</formula1>
    </dataValidation>
    <dataValidation type="list" allowBlank="1" showInputMessage="1" showErrorMessage="1" sqref="R83:R86" xr:uid="{5FC57F36-72A8-43BF-B9B5-8F4EB6A37127}">
      <formula1>$Q$83:$Q$86</formula1>
    </dataValidation>
    <dataValidation type="list" allowBlank="1" showInputMessage="1" showErrorMessage="1" sqref="X79:X82" xr:uid="{BB57D131-0B25-4D6E-9562-03FF7A994281}">
      <formula1>$W$79:$W$82</formula1>
    </dataValidation>
    <dataValidation type="list" allowBlank="1" showInputMessage="1" showErrorMessage="1" sqref="BC17:BC20" xr:uid="{B4D2D38B-5C3E-4C7A-8B4D-14695A9F97B9}">
      <formula1>$BB$17:$BB$20</formula1>
    </dataValidation>
    <dataValidation type="list" allowBlank="1" showInputMessage="1" showErrorMessage="1" sqref="BC31:BC34" xr:uid="{15DF635D-896A-411B-BF47-F814791A45D7}">
      <formula1>$BB$31:$BB$34</formula1>
    </dataValidation>
    <dataValidation type="decimal" allowBlank="1" showInputMessage="1" showErrorMessage="1" sqref="BD17:BD20 BD31:BD34" xr:uid="{7F8C02D8-CEA6-446B-A3FC-68FC2F5CD345}">
      <formula1>0</formula1>
      <formula2>720</formula2>
    </dataValidation>
    <dataValidation type="decimal" allowBlank="1" showInputMessage="1" showErrorMessage="1" sqref="E15:E62" xr:uid="{7306D21C-88DF-4620-989A-B80126ACF36D}">
      <formula1>0</formula1>
      <formula2>2</formula2>
    </dataValidation>
    <dataValidation type="list" allowBlank="1" showInputMessage="1" showErrorMessage="1" sqref="X83:X86" xr:uid="{88A72882-DE46-4631-94C0-8FF38604493E}">
      <formula1>$W$83:$W$86</formula1>
    </dataValidation>
    <dataValidation type="list" allowBlank="1" showInputMessage="1" showErrorMessage="1" sqref="R33:R36" xr:uid="{60D73F6E-0167-4763-93B9-A41F50ACA248}">
      <formula1>$Q$33:$Q$36</formula1>
    </dataValidation>
    <dataValidation type="list" allowBlank="1" showInputMessage="1" showErrorMessage="1" sqref="R37:R40" xr:uid="{F927CE3A-8F9C-4DC9-AF71-24C7E0CDA668}">
      <formula1>$Q$37:$Q$40</formula1>
    </dataValidation>
    <dataValidation type="list" allowBlank="1" showInputMessage="1" showErrorMessage="1" sqref="X17:X20" xr:uid="{D68C05DF-5559-4317-BBBD-26349004C4F6}">
      <formula1>$W$17:$W$20</formula1>
    </dataValidation>
    <dataValidation type="list" allowBlank="1" showInputMessage="1" showErrorMessage="1" sqref="X21:X24" xr:uid="{1A61F60B-BAC4-44E2-8827-8592F6921029}">
      <formula1>$W$21:$W$24</formula1>
    </dataValidation>
    <dataValidation type="list" allowBlank="1" showInputMessage="1" showErrorMessage="1" sqref="X25:X28" xr:uid="{1E96DE93-FE6B-4A3C-AB58-8B7C3F6F79CA}">
      <formula1>$W$25:$W$28</formula1>
    </dataValidation>
    <dataValidation type="list" allowBlank="1" showInputMessage="1" showErrorMessage="1" sqref="R87:R90" xr:uid="{0D085E90-A6A0-4202-8343-9D929CFEDF24}">
      <formula1>$Q$87:$Q$90</formula1>
    </dataValidation>
    <dataValidation type="list" allowBlank="1" showInputMessage="1" showErrorMessage="1" sqref="X87:X90" xr:uid="{FFE3695E-83FF-4D8D-9293-0F532AE6DC69}">
      <formula1>$W$87:$W$90</formula1>
    </dataValidation>
    <dataValidation type="list" allowBlank="1" showInputMessage="1" showErrorMessage="1" sqref="AD79:AD82" xr:uid="{71067710-AB9B-4943-A46B-1C9A91AE4374}">
      <formula1>$AC$79:$AC$82</formula1>
    </dataValidation>
    <dataValidation type="list" allowBlank="1" showInputMessage="1" showErrorMessage="1" sqref="AD83:AD86" xr:uid="{02DF2A0B-7830-4606-8DE6-4355129D1D62}">
      <formula1>$AC$83:$AC$86</formula1>
    </dataValidation>
    <dataValidation type="list" allowBlank="1" showInputMessage="1" showErrorMessage="1" sqref="BB84:BB86 AV84:AV86 AV79:AV82" xr:uid="{44693B3B-4FEB-4C07-B4CC-FE344BD50A87}">
      <formula1>$AU$79:$AU$82</formula1>
    </dataValidation>
    <dataValidation type="list" showInputMessage="1" showErrorMessage="1" errorTitle="Valeur rentrée" error="Valeur entre 0 et 2 uniquement" sqref="H15:H62" xr:uid="{98A004DD-1316-49B7-B48F-28A4068D9311}">
      <formula1>$A$1:$A$104</formula1>
    </dataValidation>
    <dataValidation type="list" allowBlank="1" showInputMessage="1" showErrorMessage="1" sqref="R41:R44" xr:uid="{C1625B28-816A-4E79-847C-FA9D8BDC9EA6}">
      <formula1>$Q$41:$Q$44</formula1>
    </dataValidation>
    <dataValidation type="list" allowBlank="1" showInputMessage="1" showErrorMessage="1" sqref="R45:R48" xr:uid="{B257B040-6A3D-4753-82EA-45922DAAB126}">
      <formula1>$Q$45:$Q$48</formula1>
    </dataValidation>
    <dataValidation type="list" allowBlank="1" showInputMessage="1" showErrorMessage="1" sqref="X29:X32" xr:uid="{189B33BA-B87E-4660-9998-003CA06810A6}">
      <formula1>$W$29:$W$32</formula1>
    </dataValidation>
    <dataValidation type="list" allowBlank="1" showInputMessage="1" showErrorMessage="1" sqref="AD17:AD20" xr:uid="{F30F87A1-4E25-4240-809A-12FE8FEA1C1B}">
      <formula1>$AC$17:$AC$20</formula1>
    </dataValidation>
    <dataValidation type="list" allowBlank="1" showInputMessage="1" showErrorMessage="1" sqref="AD21:AD24" xr:uid="{6771E083-140D-4673-9369-1CF0C9F2F2F5}">
      <formula1>$AC$21:$AC$24</formula1>
    </dataValidation>
    <dataValidation type="list" allowBlank="1" showInputMessage="1" showErrorMessage="1" sqref="R91:R94 R104" xr:uid="{4283BA64-33BD-4921-A381-375863B1BED9}">
      <formula1>$Q$91:$Q$94</formula1>
    </dataValidation>
    <dataValidation type="list" allowBlank="1" showInputMessage="1" showErrorMessage="1" sqref="X91:X94 X104" xr:uid="{1A39B216-91AA-4C3A-9DAA-8B4DE6A2404D}">
      <formula1>$W$91:$W$94</formula1>
    </dataValidation>
    <dataValidation type="list" allowBlank="1" showInputMessage="1" showErrorMessage="1" sqref="AD87:AD90" xr:uid="{E1FB776A-6BE7-4383-AB25-3275F00E2C0E}">
      <formula1>$AC$87:$AC$90</formula1>
    </dataValidation>
    <dataValidation type="list" allowBlank="1" showInputMessage="1" showErrorMessage="1" sqref="AP83:AP86" xr:uid="{25F472FD-E46A-458E-8CCE-0DDCB98CC0D6}">
      <formula1>$AO$83:$AO$86</formula1>
    </dataValidation>
    <dataValidation type="list" allowBlank="1" showInputMessage="1" showErrorMessage="1" sqref="BB82" xr:uid="{DE1E92D5-92CC-47F8-B778-58E58AEAA329}">
      <formula1>$BA$82:$BA$82</formula1>
    </dataValidation>
    <dataValidation type="list" allowBlank="1" showInputMessage="1" showErrorMessage="1" sqref="R49:R52" xr:uid="{48CFB0F6-FF19-4A8A-BE79-2B43C2F62CEB}">
      <formula1>$Q$49:$Q$52</formula1>
    </dataValidation>
    <dataValidation type="list" allowBlank="1" showInputMessage="1" showErrorMessage="1" sqref="R53:R56" xr:uid="{83732B4F-464B-421E-8FE3-A66708E3BEC5}">
      <formula1>$Q$53:$Q$56</formula1>
    </dataValidation>
    <dataValidation type="list" allowBlank="1" showInputMessage="1" showErrorMessage="1" sqref="R57:R60" xr:uid="{7315D652-4C7B-4896-B088-CBD7142833A7}">
      <formula1>$Q$57:$Q$60</formula1>
    </dataValidation>
    <dataValidation type="list" allowBlank="1" showInputMessage="1" showErrorMessage="1" sqref="R61:R64" xr:uid="{4890D2A2-23A3-4FF4-8889-4D9E5089F97E}">
      <formula1>$Q$61:$Q$64</formula1>
    </dataValidation>
    <dataValidation type="list" allowBlank="1" showInputMessage="1" showErrorMessage="1" sqref="X33:X36" xr:uid="{07FE927D-D343-4356-9267-1ED652107E01}">
      <formula1>$W$33:$W$36</formula1>
    </dataValidation>
    <dataValidation type="list" allowBlank="1" showInputMessage="1" showErrorMessage="1" sqref="X37:X40" xr:uid="{BDE9A6B2-F528-434D-801D-4ABF0D06DB69}">
      <formula1>$W$37:$W$40</formula1>
    </dataValidation>
    <dataValidation type="list" allowBlank="1" showInputMessage="1" showErrorMessage="1" sqref="AD25:AD28" xr:uid="{5D765C96-6D62-40AC-9FCF-909DD4B212FA}">
      <formula1>$AC$25:$AC$28</formula1>
    </dataValidation>
    <dataValidation type="list" allowBlank="1" showInputMessage="1" showErrorMessage="1" sqref="AJ17:AJ19" xr:uid="{AE674009-6106-42FA-AAD1-D077E15B45E6}">
      <formula1>$AI$17:$AI$19</formula1>
    </dataValidation>
    <dataValidation type="list" allowBlank="1" showInputMessage="1" showErrorMessage="1" sqref="AJ20:AJ22" xr:uid="{9B166D64-DD20-47FC-A51B-1C64C9039180}">
      <formula1>$AI$20:$AI$22</formula1>
    </dataValidation>
    <dataValidation type="list" allowBlank="1" showInputMessage="1" showErrorMessage="1" sqref="AP17:AP20" xr:uid="{BE55AA5C-9151-4048-B9E6-B610E33E77AD}">
      <formula1>$AO$17:$AO$20</formula1>
    </dataValidation>
    <dataValidation type="list" allowBlank="1" showInputMessage="1" showErrorMessage="1" sqref="X95:X98" xr:uid="{B61135ED-0D07-41A7-B15D-06C8BA5304AE}">
      <formula1>$W$95:$W$98</formula1>
    </dataValidation>
    <dataValidation type="list" allowBlank="1" showInputMessage="1" showErrorMessage="1" sqref="X99:X102" xr:uid="{E2B05EC8-D995-45F6-9E8A-3D289D76D6B1}">
      <formula1>$W$99:$W$102</formula1>
    </dataValidation>
    <dataValidation type="list" allowBlank="1" showInputMessage="1" showErrorMessage="1" sqref="AJ79:AJ82" xr:uid="{A1DF509B-5CE4-434C-AE3C-3655DA800FB1}">
      <formula1>$AI$79:$AI$82</formula1>
    </dataValidation>
    <dataValidation type="list" allowBlank="1" showInputMessage="1" showErrorMessage="1" sqref="AJ83:AJ86" xr:uid="{FF9D9151-1743-4585-B713-B6DD60392FE6}">
      <formula1>$AI$83:$AI$86</formula1>
    </dataValidation>
    <dataValidation type="list" allowBlank="1" showInputMessage="1" showErrorMessage="1" sqref="AJ87:AJ90" xr:uid="{EF73ADE8-65B4-48AA-888B-4BCE0B94E6DE}">
      <formula1>$AI$87:$AI$90</formula1>
    </dataValidation>
    <dataValidation type="list" allowBlank="1" showInputMessage="1" showErrorMessage="1" sqref="AP79:AP82" xr:uid="{9AC1E56A-29D1-4ACD-B4B2-0D580FE648CD}">
      <formula1>$AO$79:$AO$82</formula1>
    </dataValidation>
    <dataValidation type="list" allowBlank="1" showInputMessage="1" showErrorMessage="1" sqref="R95:R98" xr:uid="{BA82E3F2-A743-4497-8710-AF79C6220E59}">
      <formula1>$Q$95:$Q$98</formula1>
    </dataValidation>
    <dataValidation type="list" allowBlank="1" showInputMessage="1" showErrorMessage="1" sqref="R99:R102" xr:uid="{D788FE3E-7404-406F-B7D1-08A7C4D47DEF}">
      <formula1>$Q$99:$Q$102</formula1>
    </dataValidation>
  </dataValidations>
  <pageMargins left="0.7" right="0.7" top="0.75" bottom="0.75" header="0.3" footer="0.3"/>
  <pageSetup paperSize="9" scale="1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2" id="{E6DFC4A9-1971-448F-AD1A-E8F35EF5B4EF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2"/>
              <x14:cfIcon iconSet="3Symbols2" iconId="1"/>
            </x14:iconSet>
          </x14:cfRule>
          <xm:sqref>E15:E62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Solo 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GoGu</dc:creator>
  <cp:lastModifiedBy>Mr GoGu</cp:lastModifiedBy>
  <dcterms:created xsi:type="dcterms:W3CDTF">2024-09-13T19:34:25Z</dcterms:created>
  <dcterms:modified xsi:type="dcterms:W3CDTF">2025-10-16T12:23:51Z</dcterms:modified>
</cp:coreProperties>
</file>