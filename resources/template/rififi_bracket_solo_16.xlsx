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ugor\GitHub\Asso\AssetsGenerator\resources\template\"/>
    </mc:Choice>
  </mc:AlternateContent>
  <xr:revisionPtr revIDLastSave="0" documentId="13_ncr:1_{85FF75EB-A9EB-4690-B1D0-5E7F1FC9031C}" xr6:coauthVersionLast="47" xr6:coauthVersionMax="47" xr10:uidLastSave="{00000000-0000-0000-0000-000000000000}"/>
  <bookViews>
    <workbookView xWindow="42075" yWindow="7530" windowWidth="21600" windowHeight="11835" xr2:uid="{2F0D60C5-63AA-4767-A59B-0FBF4FA7B0CE}"/>
  </bookViews>
  <sheets>
    <sheet name="Solo 16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C52" i="1" l="1"/>
  <c r="AC51" i="1"/>
  <c r="AC50" i="1"/>
  <c r="AC47" i="1"/>
  <c r="AJ34" i="1"/>
  <c r="AJ33" i="1"/>
  <c r="AJ32" i="1"/>
  <c r="AJ31" i="1"/>
  <c r="AJ20" i="1"/>
  <c r="AJ19" i="1"/>
  <c r="AJ18" i="1"/>
  <c r="AJ17" i="1"/>
  <c r="AC49" i="1"/>
  <c r="AC48" i="1"/>
  <c r="W54" i="1"/>
  <c r="W53" i="1"/>
  <c r="W52" i="1"/>
  <c r="W51" i="1"/>
  <c r="W50" i="1"/>
  <c r="W49" i="1"/>
  <c r="W48" i="1"/>
  <c r="W47" i="1"/>
  <c r="Q54" i="1"/>
  <c r="Q53" i="1"/>
  <c r="Q52" i="1"/>
  <c r="Q51" i="1"/>
  <c r="Q50" i="1"/>
  <c r="Q49" i="1"/>
  <c r="Q48" i="1"/>
  <c r="Q47" i="1"/>
  <c r="AC20" i="1"/>
  <c r="AC19" i="1"/>
  <c r="AC18" i="1"/>
  <c r="AC17" i="1"/>
  <c r="W23" i="1"/>
  <c r="W22" i="1"/>
  <c r="W21" i="1"/>
  <c r="W20" i="1"/>
  <c r="W19" i="1"/>
  <c r="W18" i="1"/>
  <c r="W17" i="1"/>
  <c r="W24" i="1"/>
  <c r="I15" i="1"/>
  <c r="I16" i="1"/>
  <c r="I17" i="1"/>
  <c r="I18" i="1"/>
  <c r="I19" i="1"/>
  <c r="I20" i="1"/>
  <c r="I21" i="1"/>
  <c r="I22" i="1"/>
  <c r="I24" i="1"/>
  <c r="I23" i="1"/>
  <c r="I26" i="1"/>
  <c r="I25" i="1"/>
  <c r="I27" i="1"/>
  <c r="I28" i="1"/>
  <c r="I29" i="1"/>
  <c r="I30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17" i="1"/>
  <c r="M33" i="1"/>
  <c r="O34" i="1"/>
  <c r="O16" i="1"/>
  <c r="O18" i="1" s="1"/>
  <c r="O29" i="1" l="1"/>
  <c r="O28" i="1"/>
  <c r="O27" i="1"/>
  <c r="O24" i="1"/>
  <c r="O17" i="1"/>
  <c r="O23" i="1"/>
  <c r="O22" i="1"/>
  <c r="O21" i="1"/>
  <c r="O25" i="1"/>
  <c r="O32" i="1"/>
  <c r="O20" i="1"/>
  <c r="O26" i="1"/>
  <c r="O31" i="1"/>
  <c r="O19" i="1"/>
  <c r="O30" i="1"/>
  <c r="Q17" i="1" l="1" a="1"/>
  <c r="Q17" i="1" s="1"/>
  <c r="Q31" i="1" a="1"/>
  <c r="Q31" i="1" s="1"/>
  <c r="Q30" i="1" a="1"/>
  <c r="Q30" i="1" s="1"/>
  <c r="Q29" i="1" a="1"/>
  <c r="Q29" i="1" s="1"/>
  <c r="Q28" i="1" a="1"/>
  <c r="Q28" i="1" s="1"/>
  <c r="Q19" i="1" a="1"/>
  <c r="Q19" i="1" s="1"/>
  <c r="Q26" i="1" a="1"/>
  <c r="Q26" i="1" s="1"/>
  <c r="Q20" i="1" a="1"/>
  <c r="Q20" i="1" s="1"/>
  <c r="Q25" i="1" a="1"/>
  <c r="Q25" i="1" s="1"/>
  <c r="Q24" i="1" a="1"/>
  <c r="Q24" i="1" s="1"/>
  <c r="Q18" i="1" a="1"/>
  <c r="Q18" i="1" s="1"/>
  <c r="Q23" i="1" a="1"/>
  <c r="Q23" i="1" s="1"/>
  <c r="Q21" i="1" a="1"/>
  <c r="Q21" i="1" s="1"/>
  <c r="Q22" i="1" a="1"/>
  <c r="Q22" i="1" s="1"/>
  <c r="Q32" i="1" a="1"/>
  <c r="Q32" i="1" s="1"/>
  <c r="Q27" i="1" a="1"/>
  <c r="Q27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<sst xmlns="http://schemas.openxmlformats.org/spreadsheetml/2006/main" count="216" uniqueCount="167">
  <si>
    <t>RIFIFI sur le circuit #00</t>
  </si>
  <si>
    <t>Participants</t>
  </si>
  <si>
    <t>Liste Participants</t>
  </si>
  <si>
    <t>Participant #01</t>
  </si>
  <si>
    <t>Participant #02</t>
  </si>
  <si>
    <t>Participant #03</t>
  </si>
  <si>
    <t>Participant #04</t>
  </si>
  <si>
    <t>Participant #05</t>
  </si>
  <si>
    <t>Participant #06</t>
  </si>
  <si>
    <t>Participant #07</t>
  </si>
  <si>
    <t>Participant #08</t>
  </si>
  <si>
    <t>Participant #09</t>
  </si>
  <si>
    <t>Participant #10</t>
  </si>
  <si>
    <t>Participant #11</t>
  </si>
  <si>
    <t>Participant #12</t>
  </si>
  <si>
    <t>Participant #13</t>
  </si>
  <si>
    <t>Participant #14</t>
  </si>
  <si>
    <t>Participant #15</t>
  </si>
  <si>
    <t>Participant #16</t>
  </si>
  <si>
    <t>1er</t>
  </si>
  <si>
    <t>2e</t>
  </si>
  <si>
    <t>3e</t>
  </si>
  <si>
    <t>4e</t>
  </si>
  <si>
    <t>5e</t>
  </si>
  <si>
    <t>6e</t>
  </si>
  <si>
    <t>7e</t>
  </si>
  <si>
    <t>8e</t>
  </si>
  <si>
    <t>9e</t>
  </si>
  <si>
    <t>11e</t>
  </si>
  <si>
    <t>13e</t>
  </si>
  <si>
    <t>15e</t>
  </si>
  <si>
    <t>Courses</t>
  </si>
  <si>
    <t>ID</t>
  </si>
  <si>
    <t>Classement</t>
  </si>
  <si>
    <t>A</t>
  </si>
  <si>
    <t>B</t>
  </si>
  <si>
    <t>C</t>
  </si>
  <si>
    <t>D</t>
  </si>
  <si>
    <t>Winner Round #01</t>
  </si>
  <si>
    <t>E</t>
  </si>
  <si>
    <t>F</t>
  </si>
  <si>
    <t>Winner Finale</t>
  </si>
  <si>
    <t>WINNER BRACKET</t>
  </si>
  <si>
    <t>LOOSER BRACKET</t>
  </si>
  <si>
    <t>Looser Round #01</t>
  </si>
  <si>
    <t>Winner Round #02</t>
  </si>
  <si>
    <t>G</t>
  </si>
  <si>
    <t>H</t>
  </si>
  <si>
    <t>Looser Round #02</t>
  </si>
  <si>
    <t>J</t>
  </si>
  <si>
    <t>I</t>
  </si>
  <si>
    <t>Looser Finale</t>
  </si>
  <si>
    <t>WF</t>
  </si>
  <si>
    <t>Petite Finale</t>
  </si>
  <si>
    <t>Grande Finale</t>
  </si>
  <si>
    <t>GF</t>
  </si>
  <si>
    <t>PF</t>
  </si>
  <si>
    <t>K</t>
  </si>
  <si>
    <t>L</t>
  </si>
  <si>
    <t>Points</t>
  </si>
  <si>
    <t>Mario</t>
  </si>
  <si>
    <t>Luigi</t>
  </si>
  <si>
    <t>Peach</t>
  </si>
  <si>
    <t>Daisy</t>
  </si>
  <si>
    <t>Harmonie</t>
  </si>
  <si>
    <t>Mario Tanuki</t>
  </si>
  <si>
    <t>Peach Chat</t>
  </si>
  <si>
    <t>Yoshi</t>
  </si>
  <si>
    <t>Yoshi Rouge</t>
  </si>
  <si>
    <t>Yoshi Bleu Marine</t>
  </si>
  <si>
    <t>Yoshi Bleu Ciel</t>
  </si>
  <si>
    <t>Yoshi Jaune</t>
  </si>
  <si>
    <t>Yoshi Rose</t>
  </si>
  <si>
    <t>Yoshi Noir</t>
  </si>
  <si>
    <t>Yoshi Blanc</t>
  </si>
  <si>
    <t>Yoshi Orange</t>
  </si>
  <si>
    <t>Toad</t>
  </si>
  <si>
    <t>Koopa</t>
  </si>
  <si>
    <t>Maskass</t>
  </si>
  <si>
    <t>Maskass Vert</t>
  </si>
  <si>
    <t>Maskass Bleu Marine</t>
  </si>
  <si>
    <t>Maskass Bleu Ciel</t>
  </si>
  <si>
    <t>Maskass Jaune</t>
  </si>
  <si>
    <t>Maskass Rose</t>
  </si>
  <si>
    <t>Maskass Noir</t>
  </si>
  <si>
    <t>Maskass Blanc</t>
  </si>
  <si>
    <t>Lakitu</t>
  </si>
  <si>
    <t>Toadette</t>
  </si>
  <si>
    <t>Wario</t>
  </si>
  <si>
    <t>Waluigi</t>
  </si>
  <si>
    <t>Donkey Kong</t>
  </si>
  <si>
    <t>Bowser</t>
  </si>
  <si>
    <t>Skelerex</t>
  </si>
  <si>
    <t>Bowser Squelette</t>
  </si>
  <si>
    <t>Lemmy</t>
  </si>
  <si>
    <t>Larry</t>
  </si>
  <si>
    <t>Wendy</t>
  </si>
  <si>
    <t>Ludwig</t>
  </si>
  <si>
    <t>Iggy</t>
  </si>
  <si>
    <t>Roy</t>
  </si>
  <si>
    <t>Morton</t>
  </si>
  <si>
    <t>Inkling Girl</t>
  </si>
  <si>
    <t>Inkling Girl Vert</t>
  </si>
  <si>
    <t>Inkling Girl Rose</t>
  </si>
  <si>
    <t>Inkling Boy</t>
  </si>
  <si>
    <t>Inkling Boy Violet</t>
  </si>
  <si>
    <t>Inkling Boy Cyan</t>
  </si>
  <si>
    <t>Link</t>
  </si>
  <si>
    <t>Link BOTW</t>
  </si>
  <si>
    <t>Villageois</t>
  </si>
  <si>
    <t>Villageoise</t>
  </si>
  <si>
    <t>Marie</t>
  </si>
  <si>
    <t>Birdo</t>
  </si>
  <si>
    <t>Birdo Rouge</t>
  </si>
  <si>
    <t>Birdo Bleu Marine</t>
  </si>
  <si>
    <t>Birdo Bleu Ciel</t>
  </si>
  <si>
    <t>Birdo Jaune</t>
  </si>
  <si>
    <t>Birdo Vert</t>
  </si>
  <si>
    <t>Birdo Noir</t>
  </si>
  <si>
    <t>Birdo Blanc</t>
  </si>
  <si>
    <t>Birdo Orange</t>
  </si>
  <si>
    <t>Wiggler</t>
  </si>
  <si>
    <t>Kamek</t>
  </si>
  <si>
    <t>Peachette</t>
  </si>
  <si>
    <t>Diddy Kong</t>
  </si>
  <si>
    <t>Funky Kong</t>
  </si>
  <si>
    <t>Pauline</t>
  </si>
  <si>
    <t>MII</t>
  </si>
  <si>
    <t>Maskass Orange</t>
  </si>
  <si>
    <t>Roi Boo</t>
  </si>
  <si>
    <t>Baby Mario</t>
  </si>
  <si>
    <t>Baby Luigi</t>
  </si>
  <si>
    <t>Baby Peach</t>
  </si>
  <si>
    <t>Baby Daisy</t>
  </si>
  <si>
    <t>Baby Harmonie</t>
  </si>
  <si>
    <t>Metal Mario</t>
  </si>
  <si>
    <t>Mario Gold</t>
  </si>
  <si>
    <t>Peach d'Or Rose</t>
  </si>
  <si>
    <t>Flora Piranha</t>
  </si>
  <si>
    <t>🏆   Résultats Finaux   🏆</t>
  </si>
  <si>
    <t>FINALES</t>
  </si>
  <si>
    <t>Edition 150cc</t>
  </si>
  <si>
    <t>Butitine</t>
  </si>
  <si>
    <t>Carottin</t>
  </si>
  <si>
    <t>Catacouac</t>
  </si>
  <si>
    <t>Crapognon</t>
  </si>
  <si>
    <t>Dauphin</t>
  </si>
  <si>
    <t>Goomba</t>
  </si>
  <si>
    <t>Ossec</t>
  </si>
  <si>
    <t>Paltrak</t>
  </si>
  <si>
    <t>Paracoccinelly</t>
  </si>
  <si>
    <t>Pianta</t>
  </si>
  <si>
    <t>Pico Condor</t>
  </si>
  <si>
    <t>Pingouin</t>
  </si>
  <si>
    <t>Plante Piranha</t>
  </si>
  <si>
    <t>Pokey</t>
  </si>
  <si>
    <t>Spike</t>
  </si>
  <si>
    <t>Swooper</t>
  </si>
  <si>
    <t>Topi Taupe</t>
  </si>
  <si>
    <t>Torti Taupe</t>
  </si>
  <si>
    <t>Vache</t>
  </si>
  <si>
    <t>Zarbipas</t>
  </si>
  <si>
    <t>Bill Dozer</t>
  </si>
  <si>
    <t>Bonhomme de Neige</t>
  </si>
  <si>
    <t>Bowser Jr</t>
  </si>
  <si>
    <t>Cheep Cheep</t>
  </si>
  <si>
    <t>Frere Marteau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</si>
</sst>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Aptos Narrow"/>
      <family val="2"/>
      <scheme val="minor"/>
    </font>
    <font>
      <sz val="14"/>
      <color theme="1"/>
      <name val="Arial"/>
      <family val="2"/>
    </font>
    <font>
      <sz val="8"/>
      <name val="Aptos Narrow"/>
      <family val="2"/>
      <scheme val="minor"/>
    </font>
    <font>
      <sz val="11"/>
      <color theme="1"/>
      <name val="Arial"/>
      <family val="2"/>
    </font>
    <font>
      <sz val="40"/>
      <color theme="1"/>
      <name val="Arial"/>
      <family val="2"/>
    </font>
    <font>
      <sz val="32"/>
      <color theme="1"/>
      <name val="Arial"/>
      <family val="2"/>
    </font>
    <font>
      <sz val="18"/>
      <color theme="1"/>
      <name val="Arial"/>
      <family val="2"/>
    </font>
    <font>
      <sz val="16"/>
      <color theme="1"/>
      <name val="Arial"/>
      <family val="2"/>
    </font>
    <font>
      <sz val="12"/>
      <color theme="1"/>
      <name val="Arial"/>
      <family val="2"/>
    </font>
    <font>
      <sz val="15"/>
      <color theme="1"/>
      <name val="Arial"/>
      <family val="2"/>
    </font>
    <font>
      <b/>
      <sz val="20"/>
      <color theme="1"/>
      <name val="Arial"/>
      <family val="2"/>
    </font>
    <font>
      <b/>
      <sz val="32"/>
      <color theme="1"/>
      <name val="Arial"/>
      <family val="2"/>
    </font>
    <font>
      <b/>
      <sz val="40"/>
      <color theme="1"/>
      <name val="Arial"/>
      <family val="2"/>
    </font>
    <font>
      <sz val="12.5"/>
      <color theme="1"/>
      <name val="Arial"/>
      <family val="2"/>
    </font>
    <font>
      <b/>
      <sz val="64"/>
      <color theme="1"/>
      <name val="Arial"/>
      <family val="2"/>
    </font>
    <font>
      <b/>
      <sz val="24"/>
      <color theme="1"/>
      <name val="Arial"/>
      <family val="2"/>
    </font>
    <font>
      <sz val="13"/>
      <name val="Aptos Display"/>
      <family val="2"/>
      <scheme val="major"/>
    </font>
  </fonts>
  <fills count="1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7C8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F8F336"/>
        <bgColor indexed="64"/>
      </patternFill>
    </fill>
    <fill>
      <patternFill patternType="solid">
        <fgColor rgb="FFCE9B68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291D42"/>
        <bgColor indexed="64"/>
      </patternFill>
    </fill>
    <fill>
      <patternFill patternType="solid">
        <fgColor rgb="FF51466A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5">
    <xf numFmtId="0" fontId="0" fillId="0" borderId="0" xfId="0"/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6" xfId="0" applyFont="1" applyFill="1" applyBorder="1"/>
    <xf numFmtId="0" fontId="1" fillId="0" borderId="1" xfId="0" applyFont="1" applyBorder="1" applyAlignment="1">
      <alignment horizontal="center" vertical="center"/>
    </xf>
    <xf numFmtId="0" fontId="7" fillId="5" borderId="10" xfId="0" applyFont="1" applyFill="1" applyBorder="1"/>
    <xf numFmtId="0" fontId="8" fillId="6" borderId="4" xfId="0" applyFont="1" applyFill="1" applyBorder="1" applyAlignment="1">
      <alignment horizontal="right" vertical="center"/>
    </xf>
    <xf numFmtId="0" fontId="8" fillId="7" borderId="6" xfId="0" applyFont="1" applyFill="1" applyBorder="1" applyAlignment="1">
      <alignment horizontal="right" vertical="center"/>
    </xf>
    <xf numFmtId="0" fontId="8" fillId="7" borderId="9" xfId="0" applyFont="1" applyFill="1" applyBorder="1" applyAlignment="1">
      <alignment horizontal="right" vertical="center"/>
    </xf>
    <xf numFmtId="0" fontId="8" fillId="6" borderId="13" xfId="0" applyFont="1" applyFill="1" applyBorder="1" applyAlignment="1">
      <alignment horizontal="right" vertical="center"/>
    </xf>
    <xf numFmtId="0" fontId="8" fillId="6" borderId="15" xfId="0" applyFont="1" applyFill="1" applyBorder="1" applyAlignment="1">
      <alignment horizontal="right" vertical="center"/>
    </xf>
    <xf numFmtId="0" fontId="8" fillId="5" borderId="13" xfId="0" applyFont="1" applyFill="1" applyBorder="1" applyAlignment="1">
      <alignment horizontal="left" vertical="center"/>
    </xf>
    <xf numFmtId="0" fontId="8" fillId="5" borderId="14" xfId="0" applyFont="1" applyFill="1" applyBorder="1" applyAlignment="1">
      <alignment horizontal="left" vertical="center"/>
    </xf>
    <xf numFmtId="0" fontId="8" fillId="5" borderId="15" xfId="0" applyFont="1" applyFill="1" applyBorder="1" applyAlignment="1">
      <alignment horizontal="left" vertical="center"/>
    </xf>
    <xf numFmtId="0" fontId="8" fillId="6" borderId="9" xfId="0" applyFont="1" applyFill="1" applyBorder="1" applyAlignment="1">
      <alignment horizontal="right" vertical="center"/>
    </xf>
    <xf numFmtId="0" fontId="1" fillId="0" borderId="13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7" fillId="5" borderId="7" xfId="0" applyFont="1" applyFill="1" applyBorder="1"/>
    <xf numFmtId="0" fontId="7" fillId="5" borderId="8" xfId="0" applyFont="1" applyFill="1" applyBorder="1" applyAlignment="1">
      <alignment horizontal="left"/>
    </xf>
    <xf numFmtId="0" fontId="7" fillId="5" borderId="9" xfId="0" applyFont="1" applyFill="1" applyBorder="1" applyAlignment="1">
      <alignment horizontal="left"/>
    </xf>
    <xf numFmtId="0" fontId="8" fillId="5" borderId="2" xfId="0" applyFont="1" applyFill="1" applyBorder="1" applyAlignment="1">
      <alignment horizontal="left" vertical="center"/>
    </xf>
    <xf numFmtId="0" fontId="8" fillId="5" borderId="5" xfId="0" applyFont="1" applyFill="1" applyBorder="1" applyAlignment="1">
      <alignment horizontal="left" vertical="center"/>
    </xf>
    <xf numFmtId="0" fontId="8" fillId="5" borderId="7" xfId="0" applyFont="1" applyFill="1" applyBorder="1" applyAlignment="1">
      <alignment horizontal="left" vertical="center"/>
    </xf>
    <xf numFmtId="0" fontId="8" fillId="7" borderId="15" xfId="0" applyFont="1" applyFill="1" applyBorder="1" applyAlignment="1">
      <alignment horizontal="right" vertical="center"/>
    </xf>
    <xf numFmtId="0" fontId="8" fillId="7" borderId="14" xfId="0" applyFont="1" applyFill="1" applyBorder="1" applyAlignment="1">
      <alignment horizontal="right" vertical="center"/>
    </xf>
    <xf numFmtId="0" fontId="8" fillId="6" borderId="1" xfId="0" applyFont="1" applyFill="1" applyBorder="1" applyAlignment="1">
      <alignment horizontal="right" vertical="center"/>
    </xf>
    <xf numFmtId="0" fontId="8" fillId="9" borderId="13" xfId="0" applyFont="1" applyFill="1" applyBorder="1" applyAlignment="1">
      <alignment horizontal="right" vertical="center"/>
    </xf>
    <xf numFmtId="0" fontId="8" fillId="8" borderId="14" xfId="0" applyFont="1" applyFill="1" applyBorder="1" applyAlignment="1">
      <alignment horizontal="right" vertical="center"/>
    </xf>
    <xf numFmtId="0" fontId="8" fillId="10" borderId="14" xfId="0" applyFont="1" applyFill="1" applyBorder="1" applyAlignment="1">
      <alignment horizontal="right" vertical="center"/>
    </xf>
    <xf numFmtId="0" fontId="9" fillId="0" borderId="14" xfId="0" applyFont="1" applyBorder="1" applyAlignment="1">
      <alignment horizontal="right" vertical="center"/>
    </xf>
    <xf numFmtId="0" fontId="9" fillId="0" borderId="15" xfId="0" applyFont="1" applyBorder="1" applyAlignment="1">
      <alignment horizontal="right" vertical="center"/>
    </xf>
    <xf numFmtId="0" fontId="9" fillId="9" borderId="14" xfId="0" applyFont="1" applyFill="1" applyBorder="1" applyAlignment="1">
      <alignment horizontal="right" vertical="center"/>
    </xf>
    <xf numFmtId="0" fontId="9" fillId="0" borderId="6" xfId="0" applyFont="1" applyBorder="1" applyAlignment="1">
      <alignment horizontal="center" vertical="center"/>
    </xf>
    <xf numFmtId="0" fontId="9" fillId="8" borderId="14" xfId="0" applyFont="1" applyFill="1" applyBorder="1" applyAlignment="1">
      <alignment horizontal="right" vertical="center"/>
    </xf>
    <xf numFmtId="0" fontId="9" fillId="10" borderId="14" xfId="0" applyFont="1" applyFill="1" applyBorder="1" applyAlignment="1">
      <alignment horizontal="right" vertical="center"/>
    </xf>
    <xf numFmtId="0" fontId="9" fillId="0" borderId="9" xfId="0" applyFont="1" applyBorder="1" applyAlignment="1">
      <alignment horizontal="center" vertical="center"/>
    </xf>
    <xf numFmtId="0" fontId="5" fillId="5" borderId="17" xfId="0" applyFont="1" applyFill="1" applyBorder="1" applyAlignment="1">
      <alignment vertical="center"/>
    </xf>
    <xf numFmtId="0" fontId="3" fillId="5" borderId="17" xfId="0" applyFont="1" applyFill="1" applyBorder="1"/>
    <xf numFmtId="0" fontId="3" fillId="5" borderId="18" xfId="0" applyFont="1" applyFill="1" applyBorder="1"/>
    <xf numFmtId="0" fontId="3" fillId="5" borderId="20" xfId="0" applyFont="1" applyFill="1" applyBorder="1"/>
    <xf numFmtId="0" fontId="3" fillId="5" borderId="19" xfId="0" applyFont="1" applyFill="1" applyBorder="1"/>
    <xf numFmtId="0" fontId="1" fillId="5" borderId="19" xfId="0" applyFont="1" applyFill="1" applyBorder="1" applyAlignment="1">
      <alignment horizontal="right" vertical="center"/>
    </xf>
    <xf numFmtId="0" fontId="3" fillId="5" borderId="21" xfId="0" applyFont="1" applyFill="1" applyBorder="1"/>
    <xf numFmtId="0" fontId="3" fillId="5" borderId="22" xfId="0" applyFont="1" applyFill="1" applyBorder="1"/>
    <xf numFmtId="0" fontId="3" fillId="5" borderId="22" xfId="0" applyFont="1" applyFill="1" applyBorder="1" applyAlignment="1">
      <alignment horizontal="center" vertical="center"/>
    </xf>
    <xf numFmtId="0" fontId="3" fillId="5" borderId="23" xfId="0" applyFont="1" applyFill="1" applyBorder="1"/>
    <xf numFmtId="0" fontId="8" fillId="9" borderId="6" xfId="0" applyFont="1" applyFill="1" applyBorder="1" applyAlignment="1">
      <alignment horizontal="right" vertical="center"/>
    </xf>
    <xf numFmtId="0" fontId="8" fillId="8" borderId="6" xfId="0" applyFont="1" applyFill="1" applyBorder="1" applyAlignment="1">
      <alignment horizontal="right" vertical="center"/>
    </xf>
    <xf numFmtId="0" fontId="8" fillId="10" borderId="6" xfId="0" applyFont="1" applyFill="1" applyBorder="1" applyAlignment="1">
      <alignment horizontal="right" vertical="center"/>
    </xf>
    <xf numFmtId="0" fontId="9" fillId="9" borderId="6" xfId="0" applyFont="1" applyFill="1" applyBorder="1" applyAlignment="1">
      <alignment horizontal="center" vertical="center"/>
    </xf>
    <xf numFmtId="0" fontId="9" fillId="8" borderId="6" xfId="0" applyFont="1" applyFill="1" applyBorder="1" applyAlignment="1">
      <alignment horizontal="center" vertical="center"/>
    </xf>
    <xf numFmtId="0" fontId="9" fillId="10" borderId="6" xfId="0" applyFont="1" applyFill="1" applyBorder="1" applyAlignment="1">
      <alignment horizontal="center" vertical="center"/>
    </xf>
    <xf numFmtId="0" fontId="13" fillId="9" borderId="13" xfId="0" applyFont="1" applyFill="1" applyBorder="1" applyAlignment="1">
      <alignment horizontal="right" vertical="center"/>
    </xf>
    <xf numFmtId="0" fontId="1" fillId="5" borderId="22" xfId="0" applyFont="1" applyFill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13" fillId="8" borderId="14" xfId="0" applyFont="1" applyFill="1" applyBorder="1" applyAlignment="1">
      <alignment horizontal="right" vertical="center"/>
    </xf>
    <xf numFmtId="0" fontId="13" fillId="10" borderId="14" xfId="0" applyFont="1" applyFill="1" applyBorder="1" applyAlignment="1">
      <alignment horizontal="right" vertical="center"/>
    </xf>
    <xf numFmtId="0" fontId="13" fillId="0" borderId="14" xfId="0" applyFont="1" applyBorder="1" applyAlignment="1">
      <alignment horizontal="right" vertical="center"/>
    </xf>
    <xf numFmtId="0" fontId="13" fillId="0" borderId="15" xfId="0" applyFont="1" applyBorder="1" applyAlignment="1">
      <alignment horizontal="right" vertical="center"/>
    </xf>
    <xf numFmtId="0" fontId="9" fillId="0" borderId="8" xfId="0" applyFont="1" applyBorder="1" applyAlignment="1">
      <alignment horizontal="center" vertical="center"/>
    </xf>
    <xf numFmtId="0" fontId="3" fillId="0" borderId="17" xfId="0" applyFont="1" applyBorder="1"/>
    <xf numFmtId="0" fontId="3" fillId="0" borderId="19" xfId="0" applyFont="1" applyBorder="1" applyAlignment="1">
      <alignment horizontal="center"/>
    </xf>
    <xf numFmtId="0" fontId="3" fillId="0" borderId="21" xfId="0" applyFont="1" applyBorder="1"/>
    <xf numFmtId="0" fontId="3" fillId="0" borderId="22" xfId="0" applyFont="1" applyBorder="1"/>
    <xf numFmtId="0" fontId="9" fillId="0" borderId="2" xfId="0" applyFont="1" applyBorder="1" applyAlignment="1">
      <alignment horizontal="right" vertical="center"/>
    </xf>
    <xf numFmtId="0" fontId="9" fillId="0" borderId="5" xfId="0" applyFont="1" applyBorder="1" applyAlignment="1">
      <alignment horizontal="right" vertical="center"/>
    </xf>
    <xf numFmtId="0" fontId="9" fillId="0" borderId="7" xfId="0" applyFont="1" applyBorder="1" applyAlignment="1">
      <alignment horizontal="right" vertical="center"/>
    </xf>
    <xf numFmtId="0" fontId="11" fillId="4" borderId="28" xfId="0" applyFont="1" applyFill="1" applyBorder="1" applyAlignment="1">
      <alignment vertical="center"/>
    </xf>
    <xf numFmtId="0" fontId="11" fillId="4" borderId="30" xfId="0" applyFont="1" applyFill="1" applyBorder="1" applyAlignment="1">
      <alignment vertical="center"/>
    </xf>
    <xf numFmtId="0" fontId="5" fillId="5" borderId="0" xfId="0" applyFont="1" applyFill="1" applyAlignment="1">
      <alignment vertical="center"/>
    </xf>
    <xf numFmtId="0" fontId="3" fillId="5" borderId="0" xfId="0" applyFont="1" applyFill="1"/>
    <xf numFmtId="0" fontId="1" fillId="5" borderId="0" xfId="0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0" fontId="3" fillId="2" borderId="0" xfId="0" applyFont="1" applyFill="1"/>
    <xf numFmtId="0" fontId="9" fillId="0" borderId="0" xfId="0" applyFont="1" applyAlignment="1">
      <alignment horizontal="center" vertical="center"/>
    </xf>
    <xf numFmtId="0" fontId="1" fillId="5" borderId="0" xfId="0" applyFont="1" applyFill="1" applyAlignment="1">
      <alignment vertical="center"/>
    </xf>
    <xf numFmtId="0" fontId="8" fillId="5" borderId="0" xfId="0" applyFont="1" applyFill="1" applyAlignment="1">
      <alignment horizontal="left" vertical="center"/>
    </xf>
    <xf numFmtId="0" fontId="8" fillId="5" borderId="0" xfId="0" applyFont="1" applyFill="1" applyAlignment="1">
      <alignment horizontal="right" vertical="center"/>
    </xf>
    <xf numFmtId="0" fontId="1" fillId="5" borderId="0" xfId="0" applyFont="1" applyFill="1" applyAlignment="1">
      <alignment horizontal="right" vertical="center"/>
    </xf>
    <xf numFmtId="9" fontId="1" fillId="5" borderId="0" xfId="0" applyNumberFormat="1" applyFont="1" applyFill="1"/>
    <xf numFmtId="0" fontId="8" fillId="5" borderId="0" xfId="0" applyFont="1" applyFill="1"/>
    <xf numFmtId="0" fontId="4" fillId="5" borderId="0" xfId="0" applyFont="1" applyFill="1" applyAlignment="1">
      <alignment vertical="center"/>
    </xf>
    <xf numFmtId="0" fontId="7" fillId="5" borderId="0" xfId="0" applyFont="1" applyFill="1" applyAlignment="1">
      <alignment horizontal="left"/>
    </xf>
    <xf numFmtId="0" fontId="16" fillId="0" borderId="0" xfId="0" applyFont="1" applyAlignment="1">
      <alignment vertical="center"/>
    </xf>
    <xf numFmtId="0" fontId="12" fillId="11" borderId="2" xfId="0" applyFont="1" applyFill="1" applyBorder="1" applyAlignment="1">
      <alignment horizontal="center" vertical="center"/>
    </xf>
    <xf numFmtId="0" fontId="12" fillId="11" borderId="3" xfId="0" applyFont="1" applyFill="1" applyBorder="1" applyAlignment="1">
      <alignment horizontal="center" vertical="center"/>
    </xf>
    <xf numFmtId="0" fontId="12" fillId="11" borderId="31" xfId="0" applyFont="1" applyFill="1" applyBorder="1" applyAlignment="1">
      <alignment horizontal="center" vertical="center"/>
    </xf>
    <xf numFmtId="0" fontId="12" fillId="11" borderId="5" xfId="0" applyFont="1" applyFill="1" applyBorder="1" applyAlignment="1">
      <alignment horizontal="center" vertical="center"/>
    </xf>
    <xf numFmtId="0" fontId="12" fillId="11" borderId="0" xfId="0" applyFont="1" applyFill="1" applyAlignment="1">
      <alignment horizontal="center" vertical="center"/>
    </xf>
    <xf numFmtId="0" fontId="12" fillId="11" borderId="20" xfId="0" applyFont="1" applyFill="1" applyBorder="1" applyAlignment="1">
      <alignment horizontal="center" vertical="center"/>
    </xf>
    <xf numFmtId="0" fontId="12" fillId="11" borderId="7" xfId="0" applyFont="1" applyFill="1" applyBorder="1" applyAlignment="1">
      <alignment horizontal="center" vertical="center"/>
    </xf>
    <xf numFmtId="0" fontId="12" fillId="11" borderId="8" xfId="0" applyFont="1" applyFill="1" applyBorder="1" applyAlignment="1">
      <alignment horizontal="center" vertical="center"/>
    </xf>
    <xf numFmtId="0" fontId="12" fillId="11" borderId="32" xfId="0" applyFont="1" applyFill="1" applyBorder="1" applyAlignment="1">
      <alignment horizontal="center" vertical="center"/>
    </xf>
    <xf numFmtId="0" fontId="3" fillId="12" borderId="16" xfId="0" applyFont="1" applyFill="1" applyBorder="1" applyAlignment="1">
      <alignment horizontal="center"/>
    </xf>
    <xf numFmtId="0" fontId="3" fillId="12" borderId="19" xfId="0" applyFont="1" applyFill="1" applyBorder="1" applyAlignment="1">
      <alignment horizontal="center"/>
    </xf>
    <xf numFmtId="0" fontId="3" fillId="3" borderId="13" xfId="0" applyFont="1" applyFill="1" applyBorder="1" applyAlignment="1">
      <alignment horizontal="center"/>
    </xf>
    <xf numFmtId="0" fontId="3" fillId="3" borderId="14" xfId="0" applyFont="1" applyFill="1" applyBorder="1" applyAlignment="1">
      <alignment horizontal="center"/>
    </xf>
    <xf numFmtId="0" fontId="3" fillId="3" borderId="15" xfId="0" applyFont="1" applyFill="1" applyBorder="1" applyAlignment="1">
      <alignment horizontal="center"/>
    </xf>
    <xf numFmtId="0" fontId="3" fillId="3" borderId="6" xfId="0" applyFont="1" applyFill="1" applyBorder="1" applyAlignment="1">
      <alignment horizontal="center"/>
    </xf>
    <xf numFmtId="0" fontId="3" fillId="3" borderId="9" xfId="0" applyFont="1" applyFill="1" applyBorder="1" applyAlignment="1">
      <alignment horizontal="center"/>
    </xf>
    <xf numFmtId="0" fontId="1" fillId="0" borderId="2" xfId="0" applyFont="1" applyBorder="1" applyAlignment="1">
      <alignment horizontal="center" vertical="center" textRotation="255"/>
    </xf>
    <xf numFmtId="0" fontId="1" fillId="0" borderId="5" xfId="0" applyFont="1" applyBorder="1" applyAlignment="1">
      <alignment horizontal="center" vertical="center" textRotation="255"/>
    </xf>
    <xf numFmtId="0" fontId="1" fillId="0" borderId="7" xfId="0" applyFont="1" applyBorder="1" applyAlignment="1">
      <alignment horizontal="center" vertical="center" textRotation="255"/>
    </xf>
    <xf numFmtId="0" fontId="3" fillId="2" borderId="10" xfId="0" applyFont="1" applyFill="1" applyBorder="1" applyAlignment="1">
      <alignment horizontal="center"/>
    </xf>
    <xf numFmtId="0" fontId="3" fillId="2" borderId="11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3" fillId="2" borderId="12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center"/>
    </xf>
    <xf numFmtId="0" fontId="3" fillId="3" borderId="5" xfId="0" applyFont="1" applyFill="1" applyBorder="1" applyAlignment="1">
      <alignment horizontal="center"/>
    </xf>
    <xf numFmtId="0" fontId="3" fillId="3" borderId="7" xfId="0" applyFont="1" applyFill="1" applyBorder="1" applyAlignment="1">
      <alignment horizontal="center"/>
    </xf>
    <xf numFmtId="0" fontId="3" fillId="3" borderId="4" xfId="0" applyFont="1" applyFill="1" applyBorder="1" applyAlignment="1">
      <alignment horizontal="center"/>
    </xf>
    <xf numFmtId="0" fontId="3" fillId="12" borderId="18" xfId="0" applyFont="1" applyFill="1" applyBorder="1" applyAlignment="1">
      <alignment horizontal="center"/>
    </xf>
    <xf numFmtId="0" fontId="3" fillId="12" borderId="20" xfId="0" applyFont="1" applyFill="1" applyBorder="1" applyAlignment="1">
      <alignment horizontal="center"/>
    </xf>
    <xf numFmtId="0" fontId="3" fillId="12" borderId="23" xfId="0" applyFont="1" applyFill="1" applyBorder="1" applyAlignment="1">
      <alignment horizontal="center"/>
    </xf>
    <xf numFmtId="0" fontId="3" fillId="12" borderId="0" xfId="0" applyFont="1" applyFill="1" applyAlignment="1">
      <alignment horizontal="center"/>
    </xf>
    <xf numFmtId="0" fontId="3" fillId="12" borderId="17" xfId="0" applyFont="1" applyFill="1" applyBorder="1" applyAlignment="1">
      <alignment horizontal="center"/>
    </xf>
    <xf numFmtId="0" fontId="4" fillId="13" borderId="24" xfId="0" applyFont="1" applyFill="1" applyBorder="1" applyAlignment="1">
      <alignment horizontal="center"/>
    </xf>
    <xf numFmtId="0" fontId="4" fillId="13" borderId="14" xfId="0" applyFont="1" applyFill="1" applyBorder="1" applyAlignment="1">
      <alignment horizontal="center"/>
    </xf>
    <xf numFmtId="0" fontId="4" fillId="13" borderId="25" xfId="0" applyFont="1" applyFill="1" applyBorder="1" applyAlignment="1">
      <alignment horizontal="center"/>
    </xf>
    <xf numFmtId="0" fontId="11" fillId="4" borderId="2" xfId="0" applyFont="1" applyFill="1" applyBorder="1" applyAlignment="1">
      <alignment horizontal="center" vertical="center"/>
    </xf>
    <xf numFmtId="0" fontId="11" fillId="4" borderId="3" xfId="0" applyFont="1" applyFill="1" applyBorder="1" applyAlignment="1">
      <alignment horizontal="center" vertical="center"/>
    </xf>
    <xf numFmtId="0" fontId="11" fillId="4" borderId="4" xfId="0" applyFont="1" applyFill="1" applyBorder="1" applyAlignment="1">
      <alignment horizontal="center" vertical="center"/>
    </xf>
    <xf numFmtId="0" fontId="11" fillId="4" borderId="5" xfId="0" applyFont="1" applyFill="1" applyBorder="1" applyAlignment="1">
      <alignment horizontal="center" vertical="center"/>
    </xf>
    <xf numFmtId="0" fontId="11" fillId="4" borderId="0" xfId="0" applyFont="1" applyFill="1" applyAlignment="1">
      <alignment horizontal="center" vertical="center"/>
    </xf>
    <xf numFmtId="0" fontId="11" fillId="4" borderId="6" xfId="0" applyFont="1" applyFill="1" applyBorder="1" applyAlignment="1">
      <alignment horizontal="center" vertical="center"/>
    </xf>
    <xf numFmtId="0" fontId="11" fillId="4" borderId="7" xfId="0" applyFont="1" applyFill="1" applyBorder="1" applyAlignment="1">
      <alignment horizontal="center" vertical="center"/>
    </xf>
    <xf numFmtId="0" fontId="11" fillId="4" borderId="8" xfId="0" applyFont="1" applyFill="1" applyBorder="1" applyAlignment="1">
      <alignment horizontal="center" vertical="center"/>
    </xf>
    <xf numFmtId="0" fontId="11" fillId="4" borderId="9" xfId="0" applyFont="1" applyFill="1" applyBorder="1" applyAlignment="1">
      <alignment horizontal="center" vertical="center"/>
    </xf>
    <xf numFmtId="0" fontId="12" fillId="10" borderId="2" xfId="0" applyFont="1" applyFill="1" applyBorder="1" applyAlignment="1">
      <alignment horizontal="center" vertical="center"/>
    </xf>
    <xf numFmtId="0" fontId="12" fillId="10" borderId="3" xfId="0" applyFont="1" applyFill="1" applyBorder="1" applyAlignment="1">
      <alignment horizontal="center" vertical="center"/>
    </xf>
    <xf numFmtId="0" fontId="12" fillId="10" borderId="4" xfId="0" applyFont="1" applyFill="1" applyBorder="1" applyAlignment="1">
      <alignment horizontal="center" vertical="center"/>
    </xf>
    <xf numFmtId="0" fontId="12" fillId="10" borderId="5" xfId="0" applyFont="1" applyFill="1" applyBorder="1" applyAlignment="1">
      <alignment horizontal="center" vertical="center"/>
    </xf>
    <xf numFmtId="0" fontId="12" fillId="10" borderId="0" xfId="0" applyFont="1" applyFill="1" applyAlignment="1">
      <alignment horizontal="center" vertical="center"/>
    </xf>
    <xf numFmtId="0" fontId="12" fillId="10" borderId="6" xfId="0" applyFont="1" applyFill="1" applyBorder="1" applyAlignment="1">
      <alignment horizontal="center" vertical="center"/>
    </xf>
    <xf numFmtId="0" fontId="12" fillId="10" borderId="7" xfId="0" applyFont="1" applyFill="1" applyBorder="1" applyAlignment="1">
      <alignment horizontal="center" vertical="center"/>
    </xf>
    <xf numFmtId="0" fontId="12" fillId="10" borderId="8" xfId="0" applyFont="1" applyFill="1" applyBorder="1" applyAlignment="1">
      <alignment horizontal="center" vertical="center"/>
    </xf>
    <xf numFmtId="0" fontId="12" fillId="10" borderId="9" xfId="0" applyFont="1" applyFill="1" applyBorder="1" applyAlignment="1">
      <alignment horizontal="center" vertical="center"/>
    </xf>
    <xf numFmtId="0" fontId="7" fillId="5" borderId="11" xfId="0" applyFont="1" applyFill="1" applyBorder="1" applyAlignment="1">
      <alignment horizontal="left"/>
    </xf>
    <xf numFmtId="0" fontId="7" fillId="5" borderId="12" xfId="0" applyFont="1" applyFill="1" applyBorder="1" applyAlignment="1">
      <alignment horizontal="left"/>
    </xf>
    <xf numFmtId="0" fontId="1" fillId="0" borderId="13" xfId="0" applyFont="1" applyBorder="1" applyAlignment="1">
      <alignment horizontal="center" vertical="center" textRotation="255"/>
    </xf>
    <xf numFmtId="0" fontId="1" fillId="0" borderId="14" xfId="0" applyFont="1" applyBorder="1" applyAlignment="1">
      <alignment horizontal="center" vertical="center" textRotation="255"/>
    </xf>
    <xf numFmtId="0" fontId="1" fillId="0" borderId="15" xfId="0" applyFont="1" applyBorder="1" applyAlignment="1">
      <alignment horizontal="center" vertical="center" textRotation="255"/>
    </xf>
    <xf numFmtId="0" fontId="12" fillId="9" borderId="2" xfId="0" applyFont="1" applyFill="1" applyBorder="1" applyAlignment="1">
      <alignment horizontal="center" vertical="center"/>
    </xf>
    <xf numFmtId="0" fontId="12" fillId="9" borderId="3" xfId="0" applyFont="1" applyFill="1" applyBorder="1" applyAlignment="1">
      <alignment horizontal="center" vertical="center"/>
    </xf>
    <xf numFmtId="0" fontId="12" fillId="9" borderId="4" xfId="0" applyFont="1" applyFill="1" applyBorder="1" applyAlignment="1">
      <alignment horizontal="center" vertical="center"/>
    </xf>
    <xf numFmtId="0" fontId="12" fillId="9" borderId="5" xfId="0" applyFont="1" applyFill="1" applyBorder="1" applyAlignment="1">
      <alignment horizontal="center" vertical="center"/>
    </xf>
    <xf numFmtId="0" fontId="12" fillId="9" borderId="0" xfId="0" applyFont="1" applyFill="1" applyAlignment="1">
      <alignment horizontal="center" vertical="center"/>
    </xf>
    <xf numFmtId="0" fontId="12" fillId="9" borderId="6" xfId="0" applyFont="1" applyFill="1" applyBorder="1" applyAlignment="1">
      <alignment horizontal="center" vertical="center"/>
    </xf>
    <xf numFmtId="0" fontId="12" fillId="9" borderId="7" xfId="0" applyFont="1" applyFill="1" applyBorder="1" applyAlignment="1">
      <alignment horizontal="center" vertical="center"/>
    </xf>
    <xf numFmtId="0" fontId="12" fillId="9" borderId="8" xfId="0" applyFont="1" applyFill="1" applyBorder="1" applyAlignment="1">
      <alignment horizontal="center" vertical="center"/>
    </xf>
    <xf numFmtId="0" fontId="12" fillId="9" borderId="9" xfId="0" applyFont="1" applyFill="1" applyBorder="1" applyAlignment="1">
      <alignment horizontal="center" vertical="center"/>
    </xf>
    <xf numFmtId="0" fontId="6" fillId="5" borderId="0" xfId="0" applyFont="1" applyFill="1" applyAlignment="1">
      <alignment horizontal="center"/>
    </xf>
    <xf numFmtId="0" fontId="3" fillId="0" borderId="19" xfId="0" applyFont="1" applyBorder="1" applyAlignment="1">
      <alignment horizontal="center"/>
    </xf>
    <xf numFmtId="0" fontId="3" fillId="0" borderId="0" xfId="0" applyFont="1" applyAlignment="1">
      <alignment horizontal="center"/>
    </xf>
    <xf numFmtId="14" fontId="15" fillId="4" borderId="29" xfId="0" applyNumberFormat="1" applyFont="1" applyFill="1" applyBorder="1" applyAlignment="1">
      <alignment horizontal="right" vertical="center"/>
    </xf>
    <xf numFmtId="0" fontId="11" fillId="4" borderId="29" xfId="0" applyFont="1" applyFill="1" applyBorder="1" applyAlignment="1">
      <alignment horizontal="left" vertical="center"/>
    </xf>
    <xf numFmtId="0" fontId="10" fillId="0" borderId="2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0" fontId="10" fillId="0" borderId="8" xfId="0" applyFont="1" applyBorder="1" applyAlignment="1">
      <alignment horizontal="center" vertical="center"/>
    </xf>
    <xf numFmtId="0" fontId="10" fillId="0" borderId="9" xfId="0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7" fillId="5" borderId="3" xfId="0" applyFont="1" applyFill="1" applyBorder="1" applyAlignment="1">
      <alignment horizontal="left"/>
    </xf>
    <xf numFmtId="0" fontId="7" fillId="5" borderId="4" xfId="0" applyFont="1" applyFill="1" applyBorder="1" applyAlignment="1">
      <alignment horizontal="left"/>
    </xf>
    <xf numFmtId="0" fontId="3" fillId="13" borderId="24" xfId="0" applyFont="1" applyFill="1" applyBorder="1" applyAlignment="1">
      <alignment horizontal="center"/>
    </xf>
    <xf numFmtId="0" fontId="3" fillId="13" borderId="14" xfId="0" applyFont="1" applyFill="1" applyBorder="1" applyAlignment="1">
      <alignment horizontal="center"/>
    </xf>
    <xf numFmtId="0" fontId="3" fillId="13" borderId="25" xfId="0" applyFont="1" applyFill="1" applyBorder="1" applyAlignment="1">
      <alignment horizontal="center"/>
    </xf>
    <xf numFmtId="0" fontId="14" fillId="4" borderId="16" xfId="0" applyFont="1" applyFill="1" applyBorder="1" applyAlignment="1">
      <alignment horizontal="center" vertical="center"/>
    </xf>
    <xf numFmtId="0" fontId="14" fillId="4" borderId="17" xfId="0" applyFont="1" applyFill="1" applyBorder="1" applyAlignment="1">
      <alignment horizontal="center" vertical="center"/>
    </xf>
    <xf numFmtId="0" fontId="14" fillId="4" borderId="19" xfId="0" applyFont="1" applyFill="1" applyBorder="1" applyAlignment="1">
      <alignment horizontal="center" vertical="center"/>
    </xf>
    <xf numFmtId="0" fontId="14" fillId="4" borderId="0" xfId="0" applyFont="1" applyFill="1" applyAlignment="1">
      <alignment horizontal="center" vertical="center"/>
    </xf>
    <xf numFmtId="0" fontId="14" fillId="4" borderId="26" xfId="0" applyFont="1" applyFill="1" applyBorder="1" applyAlignment="1">
      <alignment horizontal="center" vertical="center"/>
    </xf>
    <xf numFmtId="0" fontId="14" fillId="4" borderId="27" xfId="0" applyFont="1" applyFill="1" applyBorder="1" applyAlignment="1">
      <alignment horizontal="center" vertical="center"/>
    </xf>
  </cellXfs>
  <cellStyles count="1">
    <cellStyle name="Normal" xfId="0" builtinId="0"/>
  </cellStyles>
  <dxfs count="48">
    <dxf>
      <font>
        <b val="0"/>
        <i/>
        <color theme="1" tint="0.499984740745262"/>
      </font>
    </dxf>
    <dxf>
      <font>
        <b val="0"/>
        <i/>
        <color theme="1" tint="0.499984740745262"/>
      </font>
    </dxf>
    <dxf>
      <font>
        <b val="0"/>
        <i/>
        <color theme="1" tint="0.499984740745262"/>
      </font>
    </dxf>
    <dxf>
      <font>
        <b val="0"/>
        <i/>
        <color theme="1" tint="0.499984740745262"/>
      </font>
    </dxf>
    <dxf>
      <font>
        <b val="0"/>
        <i/>
        <color theme="1" tint="0.499984740745262"/>
      </font>
    </dxf>
    <dxf>
      <font>
        <b val="0"/>
        <i/>
        <color theme="1" tint="0.499984740745262"/>
      </font>
    </dxf>
    <dxf>
      <font>
        <b val="0"/>
        <i/>
        <color theme="1" tint="0.499984740745262"/>
      </font>
    </dxf>
    <dxf>
      <font>
        <b val="0"/>
        <i/>
        <color theme="1" tint="0.499984740745262"/>
      </font>
    </dxf>
    <dxf>
      <font>
        <b val="0"/>
        <i/>
        <color theme="1" tint="0.499984740745262"/>
      </font>
    </dxf>
    <dxf>
      <font>
        <b val="0"/>
        <i/>
        <color theme="1" tint="0.499984740745262"/>
      </font>
    </dxf>
    <dxf>
      <font>
        <b val="0"/>
        <i/>
        <color theme="1" tint="0.499984740745262"/>
      </font>
    </dxf>
    <dxf>
      <font>
        <b val="0"/>
        <i/>
        <color theme="1" tint="0.499984740745262"/>
      </font>
    </dxf>
    <dxf>
      <font>
        <b val="0"/>
        <i/>
        <color theme="1" tint="0.499984740745262"/>
      </font>
    </dxf>
    <dxf>
      <font>
        <b val="0"/>
        <i/>
        <color theme="1" tint="0.499984740745262"/>
      </font>
    </dxf>
    <dxf>
      <font>
        <b val="0"/>
        <i/>
        <color theme="1" tint="0.499984740745262"/>
      </font>
    </dxf>
    <dxf>
      <font>
        <b val="0"/>
        <i/>
        <color theme="1" tint="0.499984740745262"/>
      </font>
    </dxf>
    <dxf>
      <font>
        <b val="0"/>
        <i/>
        <color theme="1" tint="0.499984740745262"/>
      </font>
    </dxf>
    <dxf>
      <font>
        <b val="0"/>
        <i/>
        <color theme="1" tint="0.499984740745262"/>
      </font>
    </dxf>
    <dxf>
      <font>
        <b val="0"/>
        <i/>
        <color theme="1" tint="0.499984740745262"/>
      </font>
    </dxf>
    <dxf>
      <font>
        <b val="0"/>
        <i/>
        <color theme="1" tint="0.499984740745262"/>
      </font>
    </dxf>
    <dxf>
      <font>
        <b val="0"/>
        <i/>
        <color theme="1" tint="0.499984740745262"/>
      </font>
    </dxf>
    <dxf>
      <font>
        <b val="0"/>
        <i/>
        <color theme="1" tint="0.499984740745262"/>
      </font>
    </dxf>
    <dxf>
      <font>
        <b val="0"/>
        <i/>
        <color theme="1" tint="0.499984740745262"/>
      </font>
    </dxf>
    <dxf>
      <font>
        <b val="0"/>
        <i/>
        <color theme="1" tint="0.499984740745262"/>
      </font>
    </dxf>
    <dxf>
      <font>
        <b val="0"/>
        <i/>
        <color theme="1" tint="0.499984740745262"/>
      </font>
    </dxf>
    <dxf>
      <font>
        <b val="0"/>
        <i/>
        <color theme="1" tint="0.499984740745262"/>
      </font>
    </dxf>
    <dxf>
      <font>
        <b val="0"/>
        <i/>
        <color theme="1" tint="0.499984740745262"/>
      </font>
    </dxf>
    <dxf>
      <font>
        <b val="0"/>
        <i/>
        <color theme="1" tint="0.499984740745262"/>
      </font>
    </dxf>
    <dxf>
      <font>
        <b val="0"/>
        <i/>
        <color theme="1" tint="0.499984740745262"/>
      </font>
    </dxf>
    <dxf>
      <font>
        <b val="0"/>
        <i/>
        <color theme="1" tint="0.499984740745262"/>
      </font>
    </dxf>
    <dxf>
      <font>
        <b val="0"/>
        <i/>
        <color theme="1" tint="0.499984740745262"/>
      </font>
    </dxf>
    <dxf>
      <font>
        <b val="0"/>
        <i/>
        <color theme="1" tint="0.499984740745262"/>
      </font>
    </dxf>
    <dxf>
      <font>
        <b val="0"/>
        <i/>
        <color theme="1" tint="0.499984740745262"/>
      </font>
    </dxf>
    <dxf>
      <font>
        <b val="0"/>
        <i/>
        <color theme="1" tint="0.499984740745262"/>
      </font>
    </dxf>
    <dxf>
      <font>
        <b val="0"/>
        <i/>
        <color theme="1" tint="0.499984740745262"/>
      </font>
    </dxf>
    <dxf>
      <font>
        <b val="0"/>
        <i/>
        <color theme="1" tint="0.499984740745262"/>
      </font>
    </dxf>
    <dxf>
      <font>
        <b val="0"/>
        <i/>
        <color theme="1" tint="0.499984740745262"/>
      </font>
    </dxf>
    <dxf>
      <font>
        <b val="0"/>
        <i/>
        <color theme="1" tint="0.499984740745262"/>
      </font>
    </dxf>
    <dxf>
      <font>
        <b val="0"/>
        <i/>
        <color theme="1" tint="0.499984740745262"/>
      </font>
    </dxf>
    <dxf>
      <font>
        <b val="0"/>
        <i/>
        <color theme="1" tint="0.499984740745262"/>
      </font>
    </dxf>
    <dxf>
      <font>
        <b val="0"/>
        <i/>
        <color theme="1" tint="0.499984740745262"/>
      </font>
    </dxf>
    <dxf>
      <font>
        <b val="0"/>
        <i/>
        <color theme="1" tint="0.499984740745262"/>
      </font>
    </dxf>
    <dxf>
      <font>
        <b val="0"/>
        <i/>
        <color theme="1" tint="0.499984740745262"/>
      </font>
    </dxf>
    <dxf>
      <font>
        <b val="0"/>
        <i/>
        <color theme="1" tint="0.499984740745262"/>
      </font>
    </dxf>
    <dxf>
      <font>
        <b val="0"/>
        <i/>
        <color theme="1" tint="0.499984740745262"/>
      </font>
    </dxf>
    <dxf>
      <font>
        <b val="0"/>
        <i/>
        <color theme="1" tint="0.499984740745262"/>
      </font>
    </dxf>
    <dxf>
      <font>
        <b val="0"/>
        <i/>
        <color theme="1" tint="0.499984740745262"/>
      </font>
    </dxf>
    <dxf>
      <font>
        <b val="0"/>
        <i/>
        <color theme="1" tint="0.499984740745262"/>
      </font>
    </dxf>
  </dxfs>
  <tableStyles count="0" defaultTableStyle="TableStyleMedium2" defaultPivotStyle="PivotStyleLight16"/>
  <colors>
    <mruColors>
      <color rgb="FF51466A"/>
      <color rgb="FF291D42"/>
      <color rgb="FF83746D"/>
      <color rgb="FF453126"/>
      <color rgb="FF695B50"/>
      <color rgb="FF7B6C4B"/>
      <color rgb="FFCE9B68"/>
      <color rgb="FFF8F336"/>
      <color rgb="FFFF7C80"/>
      <color rgb="FFFBF88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B383F4-5B81-4835-B94B-188E90A9AF44}">
  <dimension ref="A1:AO104"/>
  <sheetViews>
    <sheetView tabSelected="1" topLeftCell="B1" zoomScale="70" zoomScaleNormal="70" zoomScaleSheetLayoutView="55" workbookViewId="0">
      <selection activeCell="H9" sqref="H9:J9"/>
    </sheetView>
  </sheetViews>
  <sheetFormatPr baseColWidth="10" defaultColWidth="0" defaultRowHeight="14.25" zeroHeight="1" x14ac:dyDescent="0.2"/>
  <cols>
    <col min="1" max="1" width="35.140625" style="1" hidden="1" customWidth="1"/>
    <col min="2" max="2" width="5.7109375" style="1" customWidth="1"/>
    <col min="3" max="3" width="13.28515625" style="1" customWidth="1"/>
    <col min="4" max="4" width="30.7109375" style="1" customWidth="1"/>
    <col min="5" max="5" width="4.7109375" style="2" customWidth="1"/>
    <col min="6" max="7" width="10.7109375" style="2" customWidth="1"/>
    <col min="8" max="8" width="20.7109375" style="2" customWidth="1"/>
    <col min="9" max="9" width="30.7109375" style="1" customWidth="1"/>
    <col min="10" max="10" width="8.7109375" style="1" customWidth="1"/>
    <col min="11" max="11" width="13.28515625" style="1" customWidth="1"/>
    <col min="12" max="12" width="10.7109375" style="1" customWidth="1"/>
    <col min="13" max="13" width="4.7109375" style="1" customWidth="1"/>
    <col min="14" max="14" width="29.28515625" style="1" hidden="1" customWidth="1"/>
    <col min="15" max="15" width="36.5703125" style="1" hidden="1" customWidth="1"/>
    <col min="16" max="16" width="4.7109375" style="1" customWidth="1"/>
    <col min="17" max="18" width="30.7109375" style="1" customWidth="1"/>
    <col min="19" max="19" width="4.7109375" style="1" customWidth="1"/>
    <col min="20" max="20" width="11.42578125" style="1" customWidth="1"/>
    <col min="21" max="22" width="4.7109375" style="1" customWidth="1"/>
    <col min="23" max="24" width="30.7109375" style="1" customWidth="1"/>
    <col min="25" max="25" width="4.7109375" style="1" customWidth="1"/>
    <col min="26" max="26" width="11.42578125" style="1" customWidth="1"/>
    <col min="27" max="28" width="4.7109375" style="1" customWidth="1"/>
    <col min="29" max="30" width="30.7109375" style="1" customWidth="1"/>
    <col min="31" max="31" width="4.7109375" style="1" customWidth="1"/>
    <col min="32" max="32" width="10.7109375" style="1" customWidth="1"/>
    <col min="33" max="33" width="13.28515625" style="1" customWidth="1"/>
    <col min="34" max="35" width="4.7109375" style="1" customWidth="1"/>
    <col min="36" max="37" width="30.7109375" style="1" customWidth="1"/>
    <col min="38" max="38" width="8.7109375" style="1" customWidth="1"/>
    <col min="39" max="39" width="4.7109375" style="1" customWidth="1"/>
    <col min="40" max="40" width="13.28515625" style="1" customWidth="1"/>
    <col min="41" max="41" width="5.7109375" style="1" customWidth="1"/>
    <col min="42" max="16384" width="11.42578125" style="1" hidden="1"/>
  </cols>
  <sheetData>
    <row r="1" spans="1:41" s="61" customFormat="1" ht="30" customHeight="1" thickBot="1" x14ac:dyDescent="0.25">
      <c r="A1" s="84" t="s">
        <v>133</v>
      </c>
      <c r="B1" s="94"/>
      <c r="C1" s="116"/>
      <c r="D1" s="116"/>
      <c r="E1" s="116"/>
      <c r="F1" s="116"/>
      <c r="G1" s="116"/>
      <c r="H1" s="116"/>
      <c r="I1" s="116"/>
      <c r="J1" s="116"/>
      <c r="K1" s="116"/>
      <c r="L1" s="116"/>
      <c r="M1" s="116"/>
      <c r="N1" s="116"/>
      <c r="O1" s="116"/>
      <c r="P1" s="116"/>
      <c r="Q1" s="116"/>
      <c r="R1" s="116"/>
      <c r="S1" s="116"/>
      <c r="T1" s="116"/>
      <c r="U1" s="116"/>
      <c r="V1" s="116"/>
      <c r="W1" s="116"/>
      <c r="X1" s="116"/>
      <c r="Y1" s="116"/>
      <c r="Z1" s="116"/>
      <c r="AA1" s="116"/>
      <c r="AB1" s="116"/>
      <c r="AC1" s="116"/>
      <c r="AD1" s="116"/>
      <c r="AE1" s="116"/>
      <c r="AF1" s="116"/>
      <c r="AG1" s="116"/>
      <c r="AH1" s="116"/>
      <c r="AI1" s="116"/>
      <c r="AJ1" s="116"/>
      <c r="AK1" s="116"/>
      <c r="AL1" s="116"/>
      <c r="AM1" s="116"/>
      <c r="AN1" s="116"/>
      <c r="AO1" s="112"/>
    </row>
    <row r="2" spans="1:41" ht="15" customHeight="1" x14ac:dyDescent="0.2">
      <c r="A2" s="84" t="s">
        <v>134</v>
      </c>
      <c r="B2" s="95"/>
      <c r="C2" s="169" t="s">
        <v>0</v>
      </c>
      <c r="D2" s="170"/>
      <c r="E2" s="170"/>
      <c r="F2" s="170"/>
      <c r="G2" s="170"/>
      <c r="H2" s="170"/>
      <c r="I2" s="170"/>
      <c r="J2" s="170"/>
      <c r="K2" s="170"/>
      <c r="L2" s="117"/>
      <c r="M2" s="37"/>
      <c r="N2" s="37"/>
      <c r="O2" s="37"/>
      <c r="P2" s="37"/>
      <c r="Q2" s="37"/>
      <c r="R2" s="37"/>
      <c r="S2" s="37"/>
      <c r="T2" s="38"/>
      <c r="U2" s="38"/>
      <c r="V2" s="38"/>
      <c r="W2" s="38"/>
      <c r="X2" s="38"/>
      <c r="Y2" s="38"/>
      <c r="Z2" s="38"/>
      <c r="AA2" s="38"/>
      <c r="AB2" s="38"/>
      <c r="AC2" s="38"/>
      <c r="AD2" s="38"/>
      <c r="AE2" s="38"/>
      <c r="AF2" s="166"/>
      <c r="AG2" s="38"/>
      <c r="AH2" s="38"/>
      <c r="AI2" s="38"/>
      <c r="AJ2" s="38"/>
      <c r="AK2" s="38"/>
      <c r="AL2" s="38"/>
      <c r="AM2" s="38"/>
      <c r="AN2" s="39"/>
      <c r="AO2" s="113"/>
    </row>
    <row r="3" spans="1:41" ht="15" customHeight="1" x14ac:dyDescent="0.2">
      <c r="A3" s="84" t="s">
        <v>131</v>
      </c>
      <c r="B3" s="95"/>
      <c r="C3" s="171"/>
      <c r="D3" s="172"/>
      <c r="E3" s="172"/>
      <c r="F3" s="172"/>
      <c r="G3" s="172"/>
      <c r="H3" s="172"/>
      <c r="I3" s="172"/>
      <c r="J3" s="172"/>
      <c r="K3" s="172"/>
      <c r="L3" s="118"/>
      <c r="M3" s="70"/>
      <c r="N3" s="70"/>
      <c r="O3" s="70"/>
      <c r="P3" s="70"/>
      <c r="Q3" s="70"/>
      <c r="R3" s="70"/>
      <c r="S3" s="70"/>
      <c r="T3" s="71"/>
      <c r="U3" s="71"/>
      <c r="V3" s="71"/>
      <c r="W3" s="71"/>
      <c r="X3" s="71"/>
      <c r="Y3" s="71"/>
      <c r="Z3" s="71"/>
      <c r="AA3" s="71"/>
      <c r="AB3" s="71"/>
      <c r="AC3" s="71"/>
      <c r="AD3" s="71"/>
      <c r="AE3" s="71"/>
      <c r="AF3" s="167"/>
      <c r="AG3" s="71"/>
      <c r="AH3" s="71"/>
      <c r="AI3" s="71"/>
      <c r="AJ3" s="71"/>
      <c r="AK3" s="71"/>
      <c r="AL3" s="71"/>
      <c r="AM3" s="71"/>
      <c r="AN3" s="40"/>
      <c r="AO3" s="113"/>
    </row>
    <row r="4" spans="1:41" ht="15" customHeight="1" x14ac:dyDescent="0.2">
      <c r="A4" s="84" t="s">
        <v>130</v>
      </c>
      <c r="B4" s="95"/>
      <c r="C4" s="171"/>
      <c r="D4" s="172"/>
      <c r="E4" s="172"/>
      <c r="F4" s="172"/>
      <c r="G4" s="172"/>
      <c r="H4" s="172"/>
      <c r="I4" s="172"/>
      <c r="J4" s="172"/>
      <c r="K4" s="172"/>
      <c r="L4" s="118"/>
      <c r="M4" s="71"/>
      <c r="N4" s="71"/>
      <c r="O4" s="71"/>
      <c r="P4" s="71"/>
      <c r="Q4" s="71"/>
      <c r="R4" s="71"/>
      <c r="S4" s="71"/>
      <c r="T4" s="71"/>
      <c r="U4" s="71"/>
      <c r="V4" s="71"/>
      <c r="W4" s="71"/>
      <c r="X4" s="71"/>
      <c r="Y4" s="71"/>
      <c r="Z4" s="71"/>
      <c r="AA4" s="71"/>
      <c r="AB4" s="71"/>
      <c r="AC4" s="71"/>
      <c r="AD4" s="71"/>
      <c r="AE4" s="71"/>
      <c r="AF4" s="167"/>
      <c r="AG4" s="71"/>
      <c r="AH4" s="71"/>
      <c r="AI4" s="71"/>
      <c r="AJ4" s="71"/>
      <c r="AK4" s="71"/>
      <c r="AL4" s="71"/>
      <c r="AM4" s="71"/>
      <c r="AN4" s="40"/>
      <c r="AO4" s="113"/>
    </row>
    <row r="5" spans="1:41" ht="15" customHeight="1" x14ac:dyDescent="0.2">
      <c r="A5" s="84" t="s">
        <v>132</v>
      </c>
      <c r="B5" s="95"/>
      <c r="C5" s="171"/>
      <c r="D5" s="172"/>
      <c r="E5" s="172"/>
      <c r="F5" s="172"/>
      <c r="G5" s="172"/>
      <c r="H5" s="172"/>
      <c r="I5" s="172"/>
      <c r="J5" s="172"/>
      <c r="K5" s="172"/>
      <c r="L5" s="118"/>
      <c r="M5" s="143" t="s">
        <v>42</v>
      </c>
      <c r="N5" s="144"/>
      <c r="O5" s="144"/>
      <c r="P5" s="144"/>
      <c r="Q5" s="144"/>
      <c r="R5" s="144"/>
      <c r="S5" s="144"/>
      <c r="T5" s="144"/>
      <c r="U5" s="144"/>
      <c r="V5" s="144"/>
      <c r="W5" s="144"/>
      <c r="X5" s="144"/>
      <c r="Y5" s="144"/>
      <c r="Z5" s="144"/>
      <c r="AA5" s="144"/>
      <c r="AB5" s="144"/>
      <c r="AC5" s="144"/>
      <c r="AD5" s="144"/>
      <c r="AE5" s="145"/>
      <c r="AF5" s="167"/>
      <c r="AG5" s="85" t="s">
        <v>140</v>
      </c>
      <c r="AH5" s="86"/>
      <c r="AI5" s="86"/>
      <c r="AJ5" s="86"/>
      <c r="AK5" s="86"/>
      <c r="AL5" s="86"/>
      <c r="AM5" s="86"/>
      <c r="AN5" s="87"/>
      <c r="AO5" s="113"/>
    </row>
    <row r="6" spans="1:41" ht="24.95" customHeight="1" thickBot="1" x14ac:dyDescent="0.25">
      <c r="A6" s="84" t="s">
        <v>162</v>
      </c>
      <c r="B6" s="95"/>
      <c r="C6" s="173"/>
      <c r="D6" s="174"/>
      <c r="E6" s="174"/>
      <c r="F6" s="174"/>
      <c r="G6" s="174"/>
      <c r="H6" s="174"/>
      <c r="I6" s="174"/>
      <c r="J6" s="174"/>
      <c r="K6" s="174"/>
      <c r="L6" s="118"/>
      <c r="M6" s="146"/>
      <c r="N6" s="147"/>
      <c r="O6" s="147"/>
      <c r="P6" s="147"/>
      <c r="Q6" s="147"/>
      <c r="R6" s="147"/>
      <c r="S6" s="147"/>
      <c r="T6" s="147"/>
      <c r="U6" s="147"/>
      <c r="V6" s="147"/>
      <c r="W6" s="147"/>
      <c r="X6" s="147"/>
      <c r="Y6" s="147"/>
      <c r="Z6" s="147"/>
      <c r="AA6" s="147"/>
      <c r="AB6" s="147"/>
      <c r="AC6" s="147"/>
      <c r="AD6" s="147"/>
      <c r="AE6" s="148"/>
      <c r="AF6" s="167"/>
      <c r="AG6" s="88"/>
      <c r="AH6" s="89"/>
      <c r="AI6" s="89"/>
      <c r="AJ6" s="89"/>
      <c r="AK6" s="89"/>
      <c r="AL6" s="89"/>
      <c r="AM6" s="89"/>
      <c r="AN6" s="90"/>
      <c r="AO6" s="113"/>
    </row>
    <row r="7" spans="1:41" ht="39.950000000000003" customHeight="1" thickTop="1" thickBot="1" x14ac:dyDescent="0.25">
      <c r="A7" s="84" t="s">
        <v>112</v>
      </c>
      <c r="B7" s="95"/>
      <c r="C7" s="68"/>
      <c r="D7" s="156" t="s">
        <v>141</v>
      </c>
      <c r="E7" s="156"/>
      <c r="F7" s="156"/>
      <c r="G7" s="156"/>
      <c r="H7" s="156"/>
      <c r="I7" s="155">
        <v>45658</v>
      </c>
      <c r="J7" s="155"/>
      <c r="K7" s="69"/>
      <c r="L7" s="118"/>
      <c r="M7" s="149"/>
      <c r="N7" s="150"/>
      <c r="O7" s="150"/>
      <c r="P7" s="150"/>
      <c r="Q7" s="150"/>
      <c r="R7" s="150"/>
      <c r="S7" s="150"/>
      <c r="T7" s="150"/>
      <c r="U7" s="150"/>
      <c r="V7" s="150"/>
      <c r="W7" s="150"/>
      <c r="X7" s="150"/>
      <c r="Y7" s="150"/>
      <c r="Z7" s="150"/>
      <c r="AA7" s="150"/>
      <c r="AB7" s="150"/>
      <c r="AC7" s="150"/>
      <c r="AD7" s="150"/>
      <c r="AE7" s="151"/>
      <c r="AF7" s="167"/>
      <c r="AG7" s="91"/>
      <c r="AH7" s="92"/>
      <c r="AI7" s="92"/>
      <c r="AJ7" s="92"/>
      <c r="AK7" s="92"/>
      <c r="AL7" s="92"/>
      <c r="AM7" s="92"/>
      <c r="AN7" s="93"/>
      <c r="AO7" s="113"/>
    </row>
    <row r="8" spans="1:41" ht="5.0999999999999996" customHeight="1" thickTop="1" x14ac:dyDescent="0.2">
      <c r="A8" s="84" t="s">
        <v>119</v>
      </c>
      <c r="B8" s="95"/>
      <c r="C8" s="153"/>
      <c r="D8" s="154"/>
      <c r="E8" s="154"/>
      <c r="F8" s="154"/>
      <c r="G8" s="154"/>
      <c r="H8" s="154"/>
      <c r="I8" s="154"/>
      <c r="J8" s="154"/>
      <c r="K8" s="154"/>
      <c r="L8" s="118"/>
      <c r="M8" s="71"/>
      <c r="N8" s="71"/>
      <c r="O8" s="71"/>
      <c r="P8" s="71"/>
      <c r="Q8" s="71"/>
      <c r="R8" s="71"/>
      <c r="S8" s="71"/>
      <c r="T8" s="71"/>
      <c r="U8" s="71"/>
      <c r="V8" s="71"/>
      <c r="W8" s="71"/>
      <c r="X8" s="71"/>
      <c r="Y8" s="71"/>
      <c r="Z8" s="71"/>
      <c r="AA8" s="71"/>
      <c r="AB8" s="71"/>
      <c r="AC8" s="71"/>
      <c r="AD8" s="71"/>
      <c r="AE8" s="71"/>
      <c r="AF8" s="167"/>
      <c r="AG8" s="71"/>
      <c r="AH8" s="71"/>
      <c r="AI8" s="71"/>
      <c r="AJ8" s="71"/>
      <c r="AK8" s="71"/>
      <c r="AL8" s="71"/>
      <c r="AM8" s="71"/>
      <c r="AN8" s="40"/>
      <c r="AO8" s="113"/>
    </row>
    <row r="9" spans="1:41" ht="30" customHeight="1" x14ac:dyDescent="0.35">
      <c r="A9" s="84" t="s">
        <v>115</v>
      </c>
      <c r="B9" s="95"/>
      <c r="C9" s="41"/>
      <c r="D9" s="152"/>
      <c r="E9" s="152"/>
      <c r="F9" s="72"/>
      <c r="G9" s="73"/>
      <c r="H9" s="152"/>
      <c r="I9" s="152"/>
      <c r="J9" s="152"/>
      <c r="K9" s="71"/>
      <c r="L9" s="118"/>
      <c r="M9" s="71"/>
      <c r="N9" s="71"/>
      <c r="O9" s="71"/>
      <c r="P9" s="71"/>
      <c r="Q9" s="71"/>
      <c r="R9" s="71"/>
      <c r="S9" s="71"/>
      <c r="T9" s="71"/>
      <c r="U9" s="71"/>
      <c r="V9" s="71"/>
      <c r="W9" s="71"/>
      <c r="X9" s="71"/>
      <c r="Y9" s="71"/>
      <c r="Z9" s="71"/>
      <c r="AA9" s="71"/>
      <c r="AB9" s="71"/>
      <c r="AC9" s="71"/>
      <c r="AD9" s="71"/>
      <c r="AE9" s="71"/>
      <c r="AF9" s="167"/>
      <c r="AG9" s="71"/>
      <c r="AH9" s="71"/>
      <c r="AI9" s="71"/>
      <c r="AJ9" s="71"/>
      <c r="AK9" s="71"/>
      <c r="AL9" s="71"/>
      <c r="AM9" s="71"/>
      <c r="AN9" s="40"/>
      <c r="AO9" s="113"/>
    </row>
    <row r="10" spans="1:41" ht="30" customHeight="1" x14ac:dyDescent="0.2">
      <c r="A10" s="84" t="s">
        <v>114</v>
      </c>
      <c r="B10" s="95"/>
      <c r="C10" s="41"/>
      <c r="D10" s="71"/>
      <c r="E10" s="73"/>
      <c r="F10" s="72"/>
      <c r="G10" s="73"/>
      <c r="H10" s="73"/>
      <c r="I10" s="71"/>
      <c r="J10" s="71"/>
      <c r="K10" s="71"/>
      <c r="L10" s="118"/>
      <c r="M10" s="71"/>
      <c r="N10" s="71"/>
      <c r="O10" s="71"/>
      <c r="P10" s="71"/>
      <c r="Q10" s="71"/>
      <c r="R10" s="71"/>
      <c r="S10" s="71"/>
      <c r="T10" s="71"/>
      <c r="U10" s="71"/>
      <c r="V10" s="71"/>
      <c r="W10" s="71"/>
      <c r="X10" s="71"/>
      <c r="Y10" s="71"/>
      <c r="Z10" s="71"/>
      <c r="AA10" s="71"/>
      <c r="AB10" s="71"/>
      <c r="AC10" s="71"/>
      <c r="AD10" s="71"/>
      <c r="AE10" s="71"/>
      <c r="AF10" s="167"/>
      <c r="AG10" s="71"/>
      <c r="AH10" s="71"/>
      <c r="AI10" s="71"/>
      <c r="AJ10" s="71"/>
      <c r="AK10" s="71"/>
      <c r="AL10" s="71"/>
      <c r="AM10" s="71"/>
      <c r="AN10" s="40"/>
      <c r="AO10" s="113"/>
    </row>
    <row r="11" spans="1:41" ht="30" customHeight="1" x14ac:dyDescent="0.2">
      <c r="A11" s="84" t="s">
        <v>116</v>
      </c>
      <c r="B11" s="95"/>
      <c r="C11" s="41"/>
      <c r="D11" s="71"/>
      <c r="E11" s="73"/>
      <c r="F11" s="72"/>
      <c r="G11" s="73"/>
      <c r="H11" s="73"/>
      <c r="I11" s="71"/>
      <c r="J11" s="71"/>
      <c r="K11" s="71"/>
      <c r="L11" s="118"/>
      <c r="M11" s="121" t="s">
        <v>38</v>
      </c>
      <c r="N11" s="121"/>
      <c r="O11" s="121"/>
      <c r="P11" s="121"/>
      <c r="Q11" s="121"/>
      <c r="R11" s="121"/>
      <c r="S11" s="122"/>
      <c r="T11" s="71"/>
      <c r="U11" s="120" t="s">
        <v>45</v>
      </c>
      <c r="V11" s="121"/>
      <c r="W11" s="121"/>
      <c r="X11" s="121"/>
      <c r="Y11" s="122"/>
      <c r="Z11" s="71"/>
      <c r="AA11" s="120" t="s">
        <v>41</v>
      </c>
      <c r="AB11" s="121"/>
      <c r="AC11" s="121"/>
      <c r="AD11" s="121"/>
      <c r="AE11" s="121"/>
      <c r="AF11" s="167"/>
      <c r="AG11" s="71"/>
      <c r="AH11" s="120" t="s">
        <v>54</v>
      </c>
      <c r="AI11" s="121"/>
      <c r="AJ11" s="121"/>
      <c r="AK11" s="121"/>
      <c r="AL11" s="121"/>
      <c r="AM11" s="122"/>
      <c r="AN11" s="40"/>
      <c r="AO11" s="113"/>
    </row>
    <row r="12" spans="1:41" ht="30" customHeight="1" x14ac:dyDescent="0.2">
      <c r="A12" s="84" t="s">
        <v>118</v>
      </c>
      <c r="B12" s="95"/>
      <c r="C12" s="41"/>
      <c r="D12" s="71"/>
      <c r="E12" s="73"/>
      <c r="F12" s="72"/>
      <c r="G12" s="73"/>
      <c r="H12" s="73"/>
      <c r="I12" s="71"/>
      <c r="J12" s="71"/>
      <c r="K12" s="71"/>
      <c r="L12" s="118"/>
      <c r="M12" s="124"/>
      <c r="N12" s="124"/>
      <c r="O12" s="124"/>
      <c r="P12" s="124"/>
      <c r="Q12" s="124"/>
      <c r="R12" s="124"/>
      <c r="S12" s="125"/>
      <c r="T12" s="71"/>
      <c r="U12" s="123"/>
      <c r="V12" s="124"/>
      <c r="W12" s="124"/>
      <c r="X12" s="124"/>
      <c r="Y12" s="125"/>
      <c r="Z12" s="71"/>
      <c r="AA12" s="123"/>
      <c r="AB12" s="124"/>
      <c r="AC12" s="124"/>
      <c r="AD12" s="124"/>
      <c r="AE12" s="124"/>
      <c r="AF12" s="167"/>
      <c r="AG12" s="71"/>
      <c r="AH12" s="123"/>
      <c r="AI12" s="124"/>
      <c r="AJ12" s="124"/>
      <c r="AK12" s="124"/>
      <c r="AL12" s="124"/>
      <c r="AM12" s="125"/>
      <c r="AN12" s="40"/>
      <c r="AO12" s="113"/>
    </row>
    <row r="13" spans="1:41" ht="25.5" customHeight="1" x14ac:dyDescent="0.2">
      <c r="A13" s="84" t="s">
        <v>120</v>
      </c>
      <c r="B13" s="95"/>
      <c r="C13" s="41"/>
      <c r="D13" s="157" t="s">
        <v>2</v>
      </c>
      <c r="E13" s="159"/>
      <c r="F13" s="72"/>
      <c r="G13" s="73"/>
      <c r="H13" s="157" t="s">
        <v>139</v>
      </c>
      <c r="I13" s="158"/>
      <c r="J13" s="159"/>
      <c r="K13" s="71"/>
      <c r="L13" s="118"/>
      <c r="M13" s="127"/>
      <c r="N13" s="127"/>
      <c r="O13" s="127"/>
      <c r="P13" s="127"/>
      <c r="Q13" s="127"/>
      <c r="R13" s="127"/>
      <c r="S13" s="128"/>
      <c r="T13" s="71"/>
      <c r="U13" s="126"/>
      <c r="V13" s="127"/>
      <c r="W13" s="127"/>
      <c r="X13" s="127"/>
      <c r="Y13" s="128"/>
      <c r="Z13" s="71"/>
      <c r="AA13" s="126"/>
      <c r="AB13" s="127"/>
      <c r="AC13" s="127"/>
      <c r="AD13" s="127"/>
      <c r="AE13" s="127"/>
      <c r="AF13" s="167"/>
      <c r="AG13" s="71"/>
      <c r="AH13" s="126"/>
      <c r="AI13" s="127"/>
      <c r="AJ13" s="127"/>
      <c r="AK13" s="127"/>
      <c r="AL13" s="127"/>
      <c r="AM13" s="128"/>
      <c r="AN13" s="40"/>
      <c r="AO13" s="113"/>
    </row>
    <row r="14" spans="1:41" ht="24.95" customHeight="1" x14ac:dyDescent="0.2">
      <c r="A14" s="84" t="s">
        <v>113</v>
      </c>
      <c r="B14" s="95"/>
      <c r="C14" s="41"/>
      <c r="D14" s="160"/>
      <c r="E14" s="163"/>
      <c r="F14" s="72"/>
      <c r="G14" s="73"/>
      <c r="H14" s="160"/>
      <c r="I14" s="161"/>
      <c r="J14" s="162"/>
      <c r="K14" s="71"/>
      <c r="L14" s="118"/>
      <c r="M14" s="74"/>
      <c r="N14" s="74"/>
      <c r="O14" s="74"/>
      <c r="P14" s="74"/>
      <c r="Q14" s="74"/>
      <c r="R14" s="74"/>
      <c r="S14" s="3"/>
      <c r="T14" s="71"/>
      <c r="U14" s="104"/>
      <c r="V14" s="105"/>
      <c r="W14" s="105"/>
      <c r="X14" s="105"/>
      <c r="Y14" s="107"/>
      <c r="Z14" s="71"/>
      <c r="AA14" s="104"/>
      <c r="AB14" s="105"/>
      <c r="AC14" s="105"/>
      <c r="AD14" s="105"/>
      <c r="AE14" s="105"/>
      <c r="AF14" s="167"/>
      <c r="AG14" s="71"/>
      <c r="AH14" s="104"/>
      <c r="AI14" s="105"/>
      <c r="AJ14" s="105"/>
      <c r="AK14" s="105"/>
      <c r="AL14" s="105"/>
      <c r="AM14" s="107"/>
      <c r="AN14" s="40"/>
      <c r="AO14" s="113"/>
    </row>
    <row r="15" spans="1:41" ht="24.95" customHeight="1" x14ac:dyDescent="0.3">
      <c r="A15" s="84" t="s">
        <v>117</v>
      </c>
      <c r="B15" s="95"/>
      <c r="C15" s="41"/>
      <c r="D15" s="65" t="s">
        <v>3</v>
      </c>
      <c r="E15" s="15">
        <v>0</v>
      </c>
      <c r="F15" s="72"/>
      <c r="G15" s="73"/>
      <c r="H15" s="53" t="s">
        <v>60</v>
      </c>
      <c r="I15" s="32" t="str">
        <f t="shared" ref="I15:I17" si="0">IF(ISBLANK(AK17),"TBD",AK17)</f>
        <v>TBD</v>
      </c>
      <c r="J15" s="50" t="s">
        <v>19</v>
      </c>
      <c r="K15" s="71"/>
      <c r="L15" s="118"/>
      <c r="M15" s="111"/>
      <c r="N15" s="75"/>
      <c r="O15" s="75"/>
      <c r="P15" s="5">
        <v>4</v>
      </c>
      <c r="Q15" s="138" t="s">
        <v>31</v>
      </c>
      <c r="R15" s="139"/>
      <c r="S15" s="96"/>
      <c r="T15" s="71"/>
      <c r="U15" s="96"/>
      <c r="V15" s="5">
        <v>4</v>
      </c>
      <c r="W15" s="138" t="s">
        <v>31</v>
      </c>
      <c r="X15" s="139"/>
      <c r="Y15" s="96"/>
      <c r="Z15" s="71"/>
      <c r="AA15" s="96"/>
      <c r="AB15" s="5">
        <v>6</v>
      </c>
      <c r="AC15" s="138" t="s">
        <v>31</v>
      </c>
      <c r="AD15" s="139"/>
      <c r="AE15" s="108"/>
      <c r="AF15" s="167"/>
      <c r="AG15" s="71"/>
      <c r="AH15" s="96"/>
      <c r="AI15" s="5">
        <v>8</v>
      </c>
      <c r="AJ15" s="164" t="s">
        <v>31</v>
      </c>
      <c r="AK15" s="164"/>
      <c r="AL15" s="165"/>
      <c r="AM15" s="96"/>
      <c r="AN15" s="40"/>
      <c r="AO15" s="113"/>
    </row>
    <row r="16" spans="1:41" ht="24.95" customHeight="1" x14ac:dyDescent="0.2">
      <c r="A16" s="84" t="s">
        <v>163</v>
      </c>
      <c r="B16" s="95"/>
      <c r="C16" s="41"/>
      <c r="D16" s="66" t="s">
        <v>4</v>
      </c>
      <c r="E16" s="16">
        <v>0</v>
      </c>
      <c r="F16" s="72"/>
      <c r="G16" s="73"/>
      <c r="H16" s="56" t="s">
        <v>60</v>
      </c>
      <c r="I16" s="34" t="str">
        <f t="shared" si="0"/>
        <v>TBD</v>
      </c>
      <c r="J16" s="51" t="s">
        <v>20</v>
      </c>
      <c r="K16" s="71"/>
      <c r="L16" s="118"/>
      <c r="M16" s="99"/>
      <c r="N16" s="75"/>
      <c r="O16" s="75">
        <f>ROW()</f>
        <v>16</v>
      </c>
      <c r="P16" s="4" t="s">
        <v>32</v>
      </c>
      <c r="Q16" s="4" t="s">
        <v>1</v>
      </c>
      <c r="R16" s="4" t="s">
        <v>33</v>
      </c>
      <c r="S16" s="97"/>
      <c r="T16" s="71"/>
      <c r="U16" s="97"/>
      <c r="V16" s="4" t="s">
        <v>32</v>
      </c>
      <c r="W16" s="15" t="s">
        <v>1</v>
      </c>
      <c r="X16" s="4" t="s">
        <v>33</v>
      </c>
      <c r="Y16" s="97"/>
      <c r="Z16" s="71"/>
      <c r="AA16" s="97"/>
      <c r="AB16" s="4" t="s">
        <v>32</v>
      </c>
      <c r="AC16" s="15" t="s">
        <v>1</v>
      </c>
      <c r="AD16" s="4" t="s">
        <v>33</v>
      </c>
      <c r="AE16" s="109"/>
      <c r="AF16" s="167"/>
      <c r="AG16" s="71"/>
      <c r="AH16" s="97"/>
      <c r="AI16" s="4" t="s">
        <v>32</v>
      </c>
      <c r="AJ16" s="15" t="s">
        <v>1</v>
      </c>
      <c r="AK16" s="15" t="s">
        <v>33</v>
      </c>
      <c r="AL16" s="4" t="s">
        <v>59</v>
      </c>
      <c r="AM16" s="97"/>
      <c r="AN16" s="40"/>
      <c r="AO16" s="113"/>
    </row>
    <row r="17" spans="1:41" ht="24.95" customHeight="1" x14ac:dyDescent="0.2">
      <c r="A17" s="84" t="s">
        <v>91</v>
      </c>
      <c r="B17" s="95"/>
      <c r="C17" s="41"/>
      <c r="D17" s="66" t="s">
        <v>5</v>
      </c>
      <c r="E17" s="16">
        <v>0</v>
      </c>
      <c r="F17" s="72"/>
      <c r="G17" s="73"/>
      <c r="H17" s="57" t="s">
        <v>60</v>
      </c>
      <c r="I17" s="35" t="str">
        <f t="shared" si="0"/>
        <v>TBD</v>
      </c>
      <c r="J17" s="52" t="s">
        <v>21</v>
      </c>
      <c r="K17" s="71"/>
      <c r="L17" s="118"/>
      <c r="M17" s="99"/>
      <c r="N17" s="75" t="str">
        <f t="shared" ref="N17:N32" si="1">IF(E15=2,D15 &amp; "  [DQ]",D15)</f>
        <v>Participant #01</v>
      </c>
      <c r="O17" s="75" t="str">
        <f t="shared" ref="O17:O32" si="2">IF(E15&gt;=1,ROW()-$O$16,"")</f>
        <v/>
      </c>
      <c r="P17" s="101" t="s">
        <v>34</v>
      </c>
      <c r="Q17" s="11" t="str" cm="1">
        <f t="array" ref="Q17">IFERROR(INDEX($N$17:$N$32,SMALL($O$17:$O$32,ROW(B1))),"-")</f>
        <v>-</v>
      </c>
      <c r="R17" s="9"/>
      <c r="S17" s="97"/>
      <c r="T17" s="71"/>
      <c r="U17" s="97"/>
      <c r="V17" s="101" t="s">
        <v>39</v>
      </c>
      <c r="W17" s="11" t="str">
        <f>IF(ISBLANK($R$17),"A1",$R$17)</f>
        <v>A1</v>
      </c>
      <c r="X17" s="6"/>
      <c r="Y17" s="97"/>
      <c r="Z17" s="71"/>
      <c r="AA17" s="97"/>
      <c r="AB17" s="101" t="s">
        <v>52</v>
      </c>
      <c r="AC17" s="11" t="str">
        <f>IF(ISBLANK($X$17),"E1",$X$17)</f>
        <v>E1</v>
      </c>
      <c r="AD17" s="6"/>
      <c r="AE17" s="109"/>
      <c r="AF17" s="167"/>
      <c r="AG17" s="71"/>
      <c r="AH17" s="97"/>
      <c r="AI17" s="101" t="s">
        <v>55</v>
      </c>
      <c r="AJ17" s="21" t="str">
        <f>IF(ISBLANK($AD$17),"WF1",$AD$17)</f>
        <v>WF1</v>
      </c>
      <c r="AK17" s="27"/>
      <c r="AL17" s="47">
        <v>0</v>
      </c>
      <c r="AM17" s="99"/>
      <c r="AN17" s="40"/>
      <c r="AO17" s="113"/>
    </row>
    <row r="18" spans="1:41" ht="24.95" customHeight="1" x14ac:dyDescent="0.2">
      <c r="A18" s="84" t="s">
        <v>164</v>
      </c>
      <c r="B18" s="95"/>
      <c r="C18" s="42"/>
      <c r="D18" s="66" t="s">
        <v>6</v>
      </c>
      <c r="E18" s="16">
        <v>0</v>
      </c>
      <c r="F18" s="72"/>
      <c r="G18" s="72"/>
      <c r="H18" s="58" t="s">
        <v>60</v>
      </c>
      <c r="I18" s="30" t="str">
        <f>IF(ISBLANK(AK20),"TBD",AK20)</f>
        <v>TBD</v>
      </c>
      <c r="J18" s="33" t="s">
        <v>22</v>
      </c>
      <c r="K18" s="71"/>
      <c r="L18" s="118"/>
      <c r="M18" s="99"/>
      <c r="N18" s="75" t="str">
        <f t="shared" si="1"/>
        <v>Participant #02</v>
      </c>
      <c r="O18" s="75" t="str">
        <f t="shared" si="2"/>
        <v/>
      </c>
      <c r="P18" s="102"/>
      <c r="Q18" s="12" t="str" cm="1">
        <f t="array" ref="Q18">IFERROR(INDEX($N$17:$N$32,SMALL($O$17:$O$32,ROW(B5))),"-")</f>
        <v>-</v>
      </c>
      <c r="R18" s="10"/>
      <c r="S18" s="97"/>
      <c r="T18" s="71"/>
      <c r="U18" s="97"/>
      <c r="V18" s="102"/>
      <c r="W18" s="12" t="str">
        <f>IF(ISBLANK($R$25),"C1",$R$25)</f>
        <v>C1</v>
      </c>
      <c r="X18" s="14"/>
      <c r="Y18" s="97"/>
      <c r="Z18" s="71"/>
      <c r="AA18" s="97"/>
      <c r="AB18" s="102"/>
      <c r="AC18" s="12" t="str">
        <f>IF(ISBLANK($X$21),"F1",$X$21)</f>
        <v>F1</v>
      </c>
      <c r="AD18" s="14"/>
      <c r="AE18" s="109"/>
      <c r="AF18" s="167"/>
      <c r="AG18" s="71"/>
      <c r="AH18" s="97"/>
      <c r="AI18" s="102"/>
      <c r="AJ18" s="22" t="str">
        <f>IF(ISBLANK($AD$18),"WF2",$AD$18)</f>
        <v>WF2</v>
      </c>
      <c r="AK18" s="28"/>
      <c r="AL18" s="48">
        <v>0</v>
      </c>
      <c r="AM18" s="99"/>
      <c r="AN18" s="40"/>
      <c r="AO18" s="113"/>
    </row>
    <row r="19" spans="1:41" ht="24.95" customHeight="1" x14ac:dyDescent="0.2">
      <c r="A19" s="84" t="s">
        <v>93</v>
      </c>
      <c r="B19" s="95"/>
      <c r="C19" s="42"/>
      <c r="D19" s="66" t="s">
        <v>7</v>
      </c>
      <c r="E19" s="16">
        <v>0</v>
      </c>
      <c r="F19" s="72"/>
      <c r="G19" s="72"/>
      <c r="H19" s="58" t="s">
        <v>60</v>
      </c>
      <c r="I19" s="30" t="str">
        <f t="shared" ref="I19:I21" si="3">IF(ISBLANK(AK31),"TBD",AK31)</f>
        <v>TBD</v>
      </c>
      <c r="J19" s="33" t="s">
        <v>23</v>
      </c>
      <c r="K19" s="71"/>
      <c r="L19" s="118"/>
      <c r="M19" s="99"/>
      <c r="N19" s="75" t="str">
        <f t="shared" si="1"/>
        <v>Participant #03</v>
      </c>
      <c r="O19" s="75" t="str">
        <f t="shared" si="2"/>
        <v/>
      </c>
      <c r="P19" s="102"/>
      <c r="Q19" s="12" t="str" cm="1">
        <f t="array" ref="Q19">IFERROR(INDEX($N$17:$N$32,SMALL($O$17:$O$32,ROW(B9))),"-")</f>
        <v>-</v>
      </c>
      <c r="R19" s="7"/>
      <c r="S19" s="97"/>
      <c r="T19" s="71"/>
      <c r="U19" s="97"/>
      <c r="V19" s="102"/>
      <c r="W19" s="12" t="str">
        <f>IF(ISBLANK($R$22),"B2",$R$22)</f>
        <v>B2</v>
      </c>
      <c r="X19" s="7"/>
      <c r="Y19" s="97"/>
      <c r="Z19" s="71"/>
      <c r="AA19" s="97"/>
      <c r="AB19" s="102"/>
      <c r="AC19" s="12" t="str">
        <f>IF(ISBLANK($X$18),"E2",$X$18)</f>
        <v>E2</v>
      </c>
      <c r="AD19" s="7"/>
      <c r="AE19" s="109"/>
      <c r="AF19" s="167"/>
      <c r="AG19" s="71"/>
      <c r="AH19" s="97"/>
      <c r="AI19" s="102"/>
      <c r="AJ19" s="22" t="str">
        <f>IF(ISBLANK($AD$47),"K1",$AD$47)</f>
        <v>K1</v>
      </c>
      <c r="AK19" s="29"/>
      <c r="AL19" s="49">
        <v>0</v>
      </c>
      <c r="AM19" s="99"/>
      <c r="AN19" s="40"/>
      <c r="AO19" s="113"/>
    </row>
    <row r="20" spans="1:41" ht="24.95" customHeight="1" x14ac:dyDescent="0.2">
      <c r="A20" s="84" t="s">
        <v>142</v>
      </c>
      <c r="B20" s="95"/>
      <c r="C20" s="42"/>
      <c r="D20" s="66" t="s">
        <v>8</v>
      </c>
      <c r="E20" s="16">
        <v>0</v>
      </c>
      <c r="F20" s="72"/>
      <c r="G20" s="72"/>
      <c r="H20" s="58" t="s">
        <v>60</v>
      </c>
      <c r="I20" s="30" t="str">
        <f t="shared" si="3"/>
        <v>TBD</v>
      </c>
      <c r="J20" s="33" t="s">
        <v>24</v>
      </c>
      <c r="K20" s="71"/>
      <c r="L20" s="118"/>
      <c r="M20" s="99"/>
      <c r="N20" s="75" t="str">
        <f t="shared" si="1"/>
        <v>Participant #04</v>
      </c>
      <c r="O20" s="75" t="str">
        <f t="shared" si="2"/>
        <v/>
      </c>
      <c r="P20" s="103"/>
      <c r="Q20" s="13" t="str" cm="1">
        <f t="array" ref="Q20">IFERROR(INDEX($N$17:$N$32,SMALL($O$17:$O$32,ROW(B13))),"-")</f>
        <v>-</v>
      </c>
      <c r="R20" s="8"/>
      <c r="S20" s="97"/>
      <c r="T20" s="71"/>
      <c r="U20" s="97"/>
      <c r="V20" s="103"/>
      <c r="W20" s="13" t="str">
        <f>IF(ISBLANK($R$30),"D2",$R$30)</f>
        <v>D2</v>
      </c>
      <c r="X20" s="8"/>
      <c r="Y20" s="97"/>
      <c r="Z20" s="71"/>
      <c r="AA20" s="98"/>
      <c r="AB20" s="103"/>
      <c r="AC20" s="13" t="str">
        <f>IF(ISBLANK($X$22),"F2",$X$22)</f>
        <v>F2</v>
      </c>
      <c r="AD20" s="8"/>
      <c r="AE20" s="110"/>
      <c r="AF20" s="167"/>
      <c r="AG20" s="71"/>
      <c r="AH20" s="98"/>
      <c r="AI20" s="103"/>
      <c r="AJ20" s="23" t="str">
        <f>IF(ISBLANK($AD$50),"L1",$AD$50)</f>
        <v>L1</v>
      </c>
      <c r="AK20" s="10"/>
      <c r="AL20" s="14">
        <v>0</v>
      </c>
      <c r="AM20" s="100"/>
      <c r="AN20" s="40"/>
      <c r="AO20" s="113"/>
    </row>
    <row r="21" spans="1:41" ht="24.95" customHeight="1" x14ac:dyDescent="0.2">
      <c r="A21" s="84" t="s">
        <v>143</v>
      </c>
      <c r="B21" s="95"/>
      <c r="C21" s="42"/>
      <c r="D21" s="66" t="s">
        <v>9</v>
      </c>
      <c r="E21" s="16">
        <v>0</v>
      </c>
      <c r="F21" s="72"/>
      <c r="G21" s="72"/>
      <c r="H21" s="58" t="s">
        <v>60</v>
      </c>
      <c r="I21" s="30" t="str">
        <f t="shared" si="3"/>
        <v>TBD</v>
      </c>
      <c r="J21" s="33" t="s">
        <v>25</v>
      </c>
      <c r="K21" s="71"/>
      <c r="L21" s="118"/>
      <c r="M21" s="99"/>
      <c r="N21" s="75" t="str">
        <f t="shared" si="1"/>
        <v>Participant #05</v>
      </c>
      <c r="O21" s="75" t="str">
        <f t="shared" si="2"/>
        <v/>
      </c>
      <c r="P21" s="101" t="s">
        <v>35</v>
      </c>
      <c r="Q21" s="11" t="str" cm="1">
        <f t="array" ref="Q21">IFERROR(INDEX($N$17:$N$32,SMALL($O$17:$O$32,ROW(B2))),"-")</f>
        <v>-</v>
      </c>
      <c r="R21" s="9"/>
      <c r="S21" s="97"/>
      <c r="T21" s="71"/>
      <c r="U21" s="97"/>
      <c r="V21" s="101" t="s">
        <v>40</v>
      </c>
      <c r="W21" s="12" t="str">
        <f>IF(ISBLANK($R$21),"B1",$R$21)</f>
        <v>B1</v>
      </c>
      <c r="X21" s="6"/>
      <c r="Y21" s="97"/>
      <c r="Z21" s="71"/>
      <c r="AA21" s="104"/>
      <c r="AB21" s="105"/>
      <c r="AC21" s="105"/>
      <c r="AD21" s="105"/>
      <c r="AE21" s="105"/>
      <c r="AF21" s="167"/>
      <c r="AG21" s="71"/>
      <c r="AH21" s="104"/>
      <c r="AI21" s="105"/>
      <c r="AJ21" s="106"/>
      <c r="AK21" s="106"/>
      <c r="AL21" s="106"/>
      <c r="AM21" s="107"/>
      <c r="AN21" s="40"/>
      <c r="AO21" s="113"/>
    </row>
    <row r="22" spans="1:41" ht="24.95" customHeight="1" x14ac:dyDescent="0.2">
      <c r="A22" s="84" t="s">
        <v>144</v>
      </c>
      <c r="B22" s="95"/>
      <c r="C22" s="42"/>
      <c r="D22" s="66" t="s">
        <v>10</v>
      </c>
      <c r="E22" s="16">
        <v>0</v>
      </c>
      <c r="F22" s="72"/>
      <c r="G22" s="72"/>
      <c r="H22" s="58" t="s">
        <v>60</v>
      </c>
      <c r="I22" s="30" t="str">
        <f>IF(ISBLANK(AK34),"TBD",AK34)</f>
        <v>TBD</v>
      </c>
      <c r="J22" s="33" t="s">
        <v>26</v>
      </c>
      <c r="K22" s="71"/>
      <c r="L22" s="118"/>
      <c r="M22" s="99"/>
      <c r="N22" s="75" t="str">
        <f t="shared" si="1"/>
        <v>Participant #06</v>
      </c>
      <c r="O22" s="75" t="str">
        <f t="shared" si="2"/>
        <v/>
      </c>
      <c r="P22" s="102"/>
      <c r="Q22" s="12" t="str" cm="1">
        <f t="array" ref="Q22">IFERROR(INDEX($N$17:$N$32,SMALL($O$17:$O$32,ROW(B6))),"-")</f>
        <v>-</v>
      </c>
      <c r="R22" s="10"/>
      <c r="S22" s="97"/>
      <c r="T22" s="71"/>
      <c r="U22" s="97"/>
      <c r="V22" s="102"/>
      <c r="W22" s="12" t="str">
        <f>IF(ISBLANK($R$29),"D1",$R$29)</f>
        <v>D1</v>
      </c>
      <c r="X22" s="14"/>
      <c r="Y22" s="97"/>
      <c r="Z22" s="71"/>
      <c r="AA22" s="71"/>
      <c r="AB22" s="76"/>
      <c r="AC22" s="77"/>
      <c r="AD22" s="78"/>
      <c r="AE22" s="71"/>
      <c r="AF22" s="167"/>
      <c r="AG22" s="71"/>
      <c r="AH22" s="71"/>
      <c r="AI22" s="71"/>
      <c r="AJ22" s="71"/>
      <c r="AK22" s="71"/>
      <c r="AL22" s="71"/>
      <c r="AM22" s="71"/>
      <c r="AN22" s="40"/>
      <c r="AO22" s="113"/>
    </row>
    <row r="23" spans="1:41" ht="24.95" customHeight="1" x14ac:dyDescent="0.2">
      <c r="A23" s="84" t="s">
        <v>165</v>
      </c>
      <c r="B23" s="95"/>
      <c r="C23" s="42"/>
      <c r="D23" s="66" t="s">
        <v>11</v>
      </c>
      <c r="E23" s="16">
        <v>0</v>
      </c>
      <c r="F23" s="72"/>
      <c r="G23" s="72"/>
      <c r="H23" s="58" t="s">
        <v>60</v>
      </c>
      <c r="I23" s="30" t="str">
        <f>IF(ISBLANK(X49),"TBD",X49)</f>
        <v>TBD</v>
      </c>
      <c r="J23" s="33" t="s">
        <v>27</v>
      </c>
      <c r="K23" s="71"/>
      <c r="L23" s="118"/>
      <c r="M23" s="99"/>
      <c r="N23" s="75" t="str">
        <f t="shared" si="1"/>
        <v>Participant #07</v>
      </c>
      <c r="O23" s="75" t="str">
        <f t="shared" si="2"/>
        <v/>
      </c>
      <c r="P23" s="102"/>
      <c r="Q23" s="12" t="str" cm="1">
        <f t="array" ref="Q23">IFERROR(INDEX($N$17:$N$32,SMALL($O$17:$O$32,ROW(B10))),"-")</f>
        <v>-</v>
      </c>
      <c r="R23" s="7"/>
      <c r="S23" s="97"/>
      <c r="T23" s="71"/>
      <c r="U23" s="97"/>
      <c r="V23" s="102"/>
      <c r="W23" s="12" t="str">
        <f>IF(ISBLANK($R$18),"A2",$R$18)</f>
        <v>A2</v>
      </c>
      <c r="X23" s="7"/>
      <c r="Y23" s="97"/>
      <c r="Z23" s="71"/>
      <c r="AA23" s="71"/>
      <c r="AB23" s="76"/>
      <c r="AC23" s="77"/>
      <c r="AD23" s="78"/>
      <c r="AE23" s="71"/>
      <c r="AF23" s="167"/>
      <c r="AG23" s="71"/>
      <c r="AH23" s="71"/>
      <c r="AI23" s="71"/>
      <c r="AJ23" s="71"/>
      <c r="AK23" s="71"/>
      <c r="AL23" s="71"/>
      <c r="AM23" s="71"/>
      <c r="AN23" s="40"/>
      <c r="AO23" s="113"/>
    </row>
    <row r="24" spans="1:41" ht="24.95" customHeight="1" x14ac:dyDescent="0.2">
      <c r="A24" s="84" t="s">
        <v>145</v>
      </c>
      <c r="B24" s="95"/>
      <c r="C24" s="42"/>
      <c r="D24" s="66" t="s">
        <v>12</v>
      </c>
      <c r="E24" s="16">
        <v>0</v>
      </c>
      <c r="F24" s="72"/>
      <c r="G24" s="72"/>
      <c r="H24" s="58" t="s">
        <v>60</v>
      </c>
      <c r="I24" s="30" t="str">
        <f>IF(ISBLANK(X53),"TBD",X53)</f>
        <v>TBD</v>
      </c>
      <c r="J24" s="33" t="s">
        <v>27</v>
      </c>
      <c r="K24" s="71"/>
      <c r="L24" s="118"/>
      <c r="M24" s="99"/>
      <c r="N24" s="75" t="str">
        <f t="shared" si="1"/>
        <v>Participant #08</v>
      </c>
      <c r="O24" s="75" t="str">
        <f t="shared" si="2"/>
        <v/>
      </c>
      <c r="P24" s="103"/>
      <c r="Q24" s="13" t="str" cm="1">
        <f t="array" ref="Q24">IFERROR(INDEX($N$17:$N$32,SMALL($O$17:$O$32,ROW(B14))),"-")</f>
        <v>-</v>
      </c>
      <c r="R24" s="8"/>
      <c r="S24" s="97"/>
      <c r="T24" s="71"/>
      <c r="U24" s="98"/>
      <c r="V24" s="103"/>
      <c r="W24" s="13" t="str">
        <f>IF(ISBLANK($R$26),"C2",$R$26)</f>
        <v>C2</v>
      </c>
      <c r="X24" s="8"/>
      <c r="Y24" s="98"/>
      <c r="Z24" s="71"/>
      <c r="AA24" s="71"/>
      <c r="AB24" s="76"/>
      <c r="AC24" s="77"/>
      <c r="AD24" s="78"/>
      <c r="AE24" s="71"/>
      <c r="AF24" s="167"/>
      <c r="AG24" s="71"/>
      <c r="AH24" s="71"/>
      <c r="AI24" s="71"/>
      <c r="AJ24" s="71"/>
      <c r="AK24" s="71"/>
      <c r="AL24" s="71"/>
      <c r="AM24" s="71"/>
      <c r="AN24" s="40"/>
      <c r="AO24" s="113"/>
    </row>
    <row r="25" spans="1:41" ht="24.95" customHeight="1" x14ac:dyDescent="0.2">
      <c r="A25" s="84" t="s">
        <v>63</v>
      </c>
      <c r="B25" s="95"/>
      <c r="C25" s="42"/>
      <c r="D25" s="66" t="s">
        <v>13</v>
      </c>
      <c r="E25" s="16">
        <v>0</v>
      </c>
      <c r="F25" s="72"/>
      <c r="G25" s="72"/>
      <c r="H25" s="58" t="s">
        <v>60</v>
      </c>
      <c r="I25" s="30" t="str">
        <f>IF(ISBLANK(X50),"TBD",X50)</f>
        <v>TBD</v>
      </c>
      <c r="J25" s="33" t="s">
        <v>28</v>
      </c>
      <c r="K25" s="71"/>
      <c r="L25" s="118"/>
      <c r="M25" s="99"/>
      <c r="N25" s="75" t="str">
        <f t="shared" si="1"/>
        <v>Participant #09</v>
      </c>
      <c r="O25" s="75" t="str">
        <f t="shared" si="2"/>
        <v/>
      </c>
      <c r="P25" s="101" t="s">
        <v>36</v>
      </c>
      <c r="Q25" s="11" t="str" cm="1">
        <f t="array" ref="Q25">IFERROR(INDEX($N$17:$N$32,SMALL($O$17:$O$32,ROW(B3))),"-")</f>
        <v>-</v>
      </c>
      <c r="R25" s="9"/>
      <c r="S25" s="97"/>
      <c r="T25" s="71"/>
      <c r="U25" s="104"/>
      <c r="V25" s="105"/>
      <c r="W25" s="105"/>
      <c r="X25" s="105"/>
      <c r="Y25" s="107"/>
      <c r="Z25" s="71"/>
      <c r="AA25" s="71"/>
      <c r="AB25" s="71"/>
      <c r="AC25" s="71"/>
      <c r="AD25" s="71"/>
      <c r="AE25" s="71"/>
      <c r="AF25" s="167"/>
      <c r="AG25" s="71"/>
      <c r="AH25" s="120" t="s">
        <v>53</v>
      </c>
      <c r="AI25" s="121"/>
      <c r="AJ25" s="121"/>
      <c r="AK25" s="121"/>
      <c r="AL25" s="121"/>
      <c r="AM25" s="122"/>
      <c r="AN25" s="40"/>
      <c r="AO25" s="113"/>
    </row>
    <row r="26" spans="1:41" ht="24.95" customHeight="1" x14ac:dyDescent="0.2">
      <c r="A26" s="84" t="s">
        <v>146</v>
      </c>
      <c r="B26" s="95"/>
      <c r="C26" s="42"/>
      <c r="D26" s="66" t="s">
        <v>14</v>
      </c>
      <c r="E26" s="16">
        <v>0</v>
      </c>
      <c r="F26" s="72"/>
      <c r="G26" s="72"/>
      <c r="H26" s="58" t="s">
        <v>60</v>
      </c>
      <c r="I26" s="30" t="str">
        <f>IF(ISBLANK(X54),"TBD",X54)</f>
        <v>TBD</v>
      </c>
      <c r="J26" s="33" t="s">
        <v>28</v>
      </c>
      <c r="K26" s="71"/>
      <c r="L26" s="118"/>
      <c r="M26" s="99"/>
      <c r="N26" s="75" t="str">
        <f t="shared" si="1"/>
        <v>Participant #10</v>
      </c>
      <c r="O26" s="75" t="str">
        <f t="shared" si="2"/>
        <v/>
      </c>
      <c r="P26" s="102"/>
      <c r="Q26" s="12" t="str" cm="1">
        <f t="array" ref="Q26">IFERROR(INDEX($N$17:$N$32,SMALL($O$17:$O$32,ROW(B7))),"-")</f>
        <v>-</v>
      </c>
      <c r="R26" s="10"/>
      <c r="S26" s="97"/>
      <c r="T26" s="71"/>
      <c r="U26" s="71"/>
      <c r="V26" s="76"/>
      <c r="W26" s="77"/>
      <c r="X26" s="78"/>
      <c r="Y26" s="71"/>
      <c r="Z26" s="71"/>
      <c r="AA26" s="71"/>
      <c r="AB26" s="71"/>
      <c r="AC26" s="71"/>
      <c r="AD26" s="71"/>
      <c r="AE26" s="71"/>
      <c r="AF26" s="167"/>
      <c r="AG26" s="71"/>
      <c r="AH26" s="123"/>
      <c r="AI26" s="124"/>
      <c r="AJ26" s="124"/>
      <c r="AK26" s="124"/>
      <c r="AL26" s="124"/>
      <c r="AM26" s="125"/>
      <c r="AN26" s="40"/>
      <c r="AO26" s="113"/>
    </row>
    <row r="27" spans="1:41" ht="24.95" customHeight="1" x14ac:dyDescent="0.2">
      <c r="A27" s="84" t="s">
        <v>124</v>
      </c>
      <c r="B27" s="95"/>
      <c r="C27" s="42"/>
      <c r="D27" s="66" t="s">
        <v>15</v>
      </c>
      <c r="E27" s="16">
        <v>0</v>
      </c>
      <c r="F27" s="72"/>
      <c r="G27" s="72"/>
      <c r="H27" s="58" t="s">
        <v>60</v>
      </c>
      <c r="I27" s="30" t="str">
        <f>IF(ISBLANK($R$49),"TBD",$R$49)</f>
        <v>TBD</v>
      </c>
      <c r="J27" s="33" t="s">
        <v>29</v>
      </c>
      <c r="K27" s="71"/>
      <c r="L27" s="118"/>
      <c r="M27" s="99"/>
      <c r="N27" s="75" t="str">
        <f t="shared" si="1"/>
        <v>Participant #11</v>
      </c>
      <c r="O27" s="75" t="str">
        <f t="shared" si="2"/>
        <v/>
      </c>
      <c r="P27" s="102"/>
      <c r="Q27" s="12" t="str" cm="1">
        <f t="array" ref="Q27">IFERROR(INDEX($N$17:$N$32,SMALL($O$17:$O$32,ROW(B11))),"-")</f>
        <v>-</v>
      </c>
      <c r="R27" s="7"/>
      <c r="S27" s="97"/>
      <c r="T27" s="71"/>
      <c r="U27" s="71"/>
      <c r="V27" s="76"/>
      <c r="W27" s="77"/>
      <c r="X27" s="78"/>
      <c r="Y27" s="71"/>
      <c r="Z27" s="71"/>
      <c r="AA27" s="71"/>
      <c r="AB27" s="71"/>
      <c r="AC27" s="71"/>
      <c r="AD27" s="71"/>
      <c r="AE27" s="71"/>
      <c r="AF27" s="167"/>
      <c r="AG27" s="71"/>
      <c r="AH27" s="126"/>
      <c r="AI27" s="127"/>
      <c r="AJ27" s="127"/>
      <c r="AK27" s="127"/>
      <c r="AL27" s="127"/>
      <c r="AM27" s="128"/>
      <c r="AN27" s="40"/>
      <c r="AO27" s="113"/>
    </row>
    <row r="28" spans="1:41" ht="24.95" customHeight="1" x14ac:dyDescent="0.2">
      <c r="A28" s="84" t="s">
        <v>90</v>
      </c>
      <c r="B28" s="95"/>
      <c r="C28" s="42"/>
      <c r="D28" s="66" t="s">
        <v>16</v>
      </c>
      <c r="E28" s="16">
        <v>0</v>
      </c>
      <c r="F28" s="72"/>
      <c r="G28" s="72"/>
      <c r="H28" s="58" t="s">
        <v>60</v>
      </c>
      <c r="I28" s="30" t="str">
        <f>IF(ISBLANK($R$53),"TBD",$R$53)</f>
        <v>TBD</v>
      </c>
      <c r="J28" s="33" t="s">
        <v>29</v>
      </c>
      <c r="K28" s="71"/>
      <c r="L28" s="118"/>
      <c r="M28" s="99"/>
      <c r="N28" s="75" t="str">
        <f t="shared" si="1"/>
        <v>Participant #12</v>
      </c>
      <c r="O28" s="75" t="str">
        <f t="shared" si="2"/>
        <v/>
      </c>
      <c r="P28" s="103"/>
      <c r="Q28" s="13" t="str" cm="1">
        <f t="array" ref="Q28">IFERROR(INDEX($N$17:$N$32,SMALL($O$17:$O$32,ROW(B15))),"-")</f>
        <v>-</v>
      </c>
      <c r="R28" s="8"/>
      <c r="S28" s="97"/>
      <c r="T28" s="71"/>
      <c r="U28" s="71"/>
      <c r="V28" s="76"/>
      <c r="W28" s="77"/>
      <c r="X28" s="78"/>
      <c r="Y28" s="71"/>
      <c r="Z28" s="71"/>
      <c r="AA28" s="71"/>
      <c r="AB28" s="71"/>
      <c r="AC28" s="71"/>
      <c r="AD28" s="71"/>
      <c r="AE28" s="71"/>
      <c r="AF28" s="167"/>
      <c r="AG28" s="71"/>
      <c r="AH28" s="104"/>
      <c r="AI28" s="105"/>
      <c r="AJ28" s="105"/>
      <c r="AK28" s="105"/>
      <c r="AL28" s="105"/>
      <c r="AM28" s="107"/>
      <c r="AN28" s="40"/>
      <c r="AO28" s="113"/>
    </row>
    <row r="29" spans="1:41" ht="24.95" customHeight="1" x14ac:dyDescent="0.3">
      <c r="A29" s="84" t="s">
        <v>138</v>
      </c>
      <c r="B29" s="95"/>
      <c r="C29" s="42"/>
      <c r="D29" s="66" t="s">
        <v>17</v>
      </c>
      <c r="E29" s="16">
        <v>0</v>
      </c>
      <c r="F29" s="72"/>
      <c r="G29" s="72"/>
      <c r="H29" s="58" t="s">
        <v>60</v>
      </c>
      <c r="I29" s="30" t="str">
        <f>IF(ISBLANK($R$50),"TBD",$R$50)</f>
        <v>TBD</v>
      </c>
      <c r="J29" s="33" t="s">
        <v>30</v>
      </c>
      <c r="K29" s="71"/>
      <c r="L29" s="118"/>
      <c r="M29" s="99"/>
      <c r="N29" s="75" t="str">
        <f t="shared" si="1"/>
        <v>Participant #13</v>
      </c>
      <c r="O29" s="75" t="str">
        <f t="shared" si="2"/>
        <v/>
      </c>
      <c r="P29" s="101" t="s">
        <v>37</v>
      </c>
      <c r="Q29" s="11" t="str" cm="1">
        <f t="array" ref="Q29">IFERROR(INDEX($N$17:$N$32,SMALL($O$17:$O$32,ROW(B4))),"-")</f>
        <v>-</v>
      </c>
      <c r="R29" s="9"/>
      <c r="S29" s="97"/>
      <c r="T29" s="71"/>
      <c r="U29" s="71"/>
      <c r="V29" s="76"/>
      <c r="W29" s="77"/>
      <c r="X29" s="78"/>
      <c r="Y29" s="71"/>
      <c r="Z29" s="71"/>
      <c r="AA29" s="71"/>
      <c r="AB29" s="71"/>
      <c r="AC29" s="71"/>
      <c r="AD29" s="71"/>
      <c r="AE29" s="71"/>
      <c r="AF29" s="167"/>
      <c r="AG29" s="71"/>
      <c r="AH29" s="96"/>
      <c r="AI29" s="5">
        <v>8</v>
      </c>
      <c r="AJ29" s="138" t="s">
        <v>31</v>
      </c>
      <c r="AK29" s="138"/>
      <c r="AL29" s="139"/>
      <c r="AM29" s="96"/>
      <c r="AN29" s="40"/>
      <c r="AO29" s="113"/>
    </row>
    <row r="30" spans="1:41" ht="24.95" customHeight="1" x14ac:dyDescent="0.2">
      <c r="A30" s="84" t="s">
        <v>166</v>
      </c>
      <c r="B30" s="95"/>
      <c r="C30" s="42"/>
      <c r="D30" s="67" t="s">
        <v>18</v>
      </c>
      <c r="E30" s="17">
        <v>0</v>
      </c>
      <c r="F30" s="72"/>
      <c r="G30" s="72"/>
      <c r="H30" s="59" t="s">
        <v>60</v>
      </c>
      <c r="I30" s="31" t="str">
        <f>IF(ISBLANK($R$54),"TBD",$R$54)</f>
        <v>TBD</v>
      </c>
      <c r="J30" s="36" t="s">
        <v>30</v>
      </c>
      <c r="K30" s="71"/>
      <c r="L30" s="118"/>
      <c r="M30" s="99"/>
      <c r="N30" s="75" t="str">
        <f t="shared" si="1"/>
        <v>Participant #14</v>
      </c>
      <c r="O30" s="75" t="str">
        <f t="shared" si="2"/>
        <v/>
      </c>
      <c r="P30" s="102"/>
      <c r="Q30" s="12" t="str" cm="1">
        <f t="array" ref="Q30">IFERROR(INDEX($N$17:$N$32,SMALL($O$17:$O$32,ROW(B8))),"-")</f>
        <v>-</v>
      </c>
      <c r="R30" s="10"/>
      <c r="S30" s="97"/>
      <c r="T30" s="71"/>
      <c r="U30" s="71"/>
      <c r="V30" s="76"/>
      <c r="W30" s="77"/>
      <c r="X30" s="78"/>
      <c r="Y30" s="71"/>
      <c r="Z30" s="71"/>
      <c r="AA30" s="71"/>
      <c r="AB30" s="71"/>
      <c r="AC30" s="71"/>
      <c r="AD30" s="71"/>
      <c r="AE30" s="71"/>
      <c r="AF30" s="167"/>
      <c r="AG30" s="71"/>
      <c r="AH30" s="97"/>
      <c r="AI30" s="4" t="s">
        <v>32</v>
      </c>
      <c r="AJ30" s="15" t="s">
        <v>1</v>
      </c>
      <c r="AK30" s="15" t="s">
        <v>33</v>
      </c>
      <c r="AL30" s="4" t="s">
        <v>59</v>
      </c>
      <c r="AM30" s="97"/>
      <c r="AN30" s="40"/>
      <c r="AO30" s="113"/>
    </row>
    <row r="31" spans="1:41" ht="24.95" customHeight="1" x14ac:dyDescent="0.25">
      <c r="A31" s="84" t="s">
        <v>125</v>
      </c>
      <c r="B31" s="95"/>
      <c r="C31" s="42"/>
      <c r="D31" s="79"/>
      <c r="E31" s="72"/>
      <c r="F31" s="72"/>
      <c r="G31" s="72"/>
      <c r="H31" s="72"/>
      <c r="I31" s="72"/>
      <c r="J31" s="72"/>
      <c r="K31" s="80"/>
      <c r="L31" s="118"/>
      <c r="M31" s="99"/>
      <c r="N31" s="75" t="str">
        <f t="shared" si="1"/>
        <v>Participant #15</v>
      </c>
      <c r="O31" s="75" t="str">
        <f t="shared" si="2"/>
        <v/>
      </c>
      <c r="P31" s="102"/>
      <c r="Q31" s="12" t="str" cm="1">
        <f t="array" ref="Q31">IFERROR(INDEX($N$17:$N$32,SMALL($O$17:$O$32,ROW(B12))),"-")</f>
        <v>-</v>
      </c>
      <c r="R31" s="7"/>
      <c r="S31" s="97"/>
      <c r="T31" s="71"/>
      <c r="U31" s="71"/>
      <c r="V31" s="76"/>
      <c r="W31" s="77"/>
      <c r="X31" s="78"/>
      <c r="Y31" s="71"/>
      <c r="Z31" s="71"/>
      <c r="AA31" s="71"/>
      <c r="AB31" s="71"/>
      <c r="AC31" s="71"/>
      <c r="AD31" s="71"/>
      <c r="AE31" s="71"/>
      <c r="AF31" s="167"/>
      <c r="AG31" s="71"/>
      <c r="AH31" s="97"/>
      <c r="AI31" s="101" t="s">
        <v>56</v>
      </c>
      <c r="AJ31" s="21" t="str">
        <f>IF(ISBLANK($AD$48),"K2",$AD$48)</f>
        <v>K2</v>
      </c>
      <c r="AK31" s="27"/>
      <c r="AL31" s="47">
        <v>0</v>
      </c>
      <c r="AM31" s="99"/>
      <c r="AN31" s="40"/>
      <c r="AO31" s="113"/>
    </row>
    <row r="32" spans="1:41" ht="24.95" customHeight="1" x14ac:dyDescent="0.25">
      <c r="A32" s="84" t="s">
        <v>147</v>
      </c>
      <c r="B32" s="95"/>
      <c r="C32" s="42"/>
      <c r="D32" s="79"/>
      <c r="E32" s="72"/>
      <c r="F32" s="72"/>
      <c r="G32" s="72"/>
      <c r="H32" s="72"/>
      <c r="I32" s="72"/>
      <c r="J32" s="72"/>
      <c r="K32" s="80"/>
      <c r="L32" s="118"/>
      <c r="M32" s="100"/>
      <c r="N32" s="60" t="str">
        <f t="shared" si="1"/>
        <v>Participant #16</v>
      </c>
      <c r="O32" s="60" t="str">
        <f t="shared" si="2"/>
        <v/>
      </c>
      <c r="P32" s="103"/>
      <c r="Q32" s="13" t="str" cm="1">
        <f t="array" ref="Q32">IFERROR(INDEX($N$17:$N$32,SMALL($O$17:$O$32,ROW(B16))),"-")</f>
        <v>-</v>
      </c>
      <c r="R32" s="8"/>
      <c r="S32" s="98"/>
      <c r="T32" s="71"/>
      <c r="U32" s="71"/>
      <c r="V32" s="76"/>
      <c r="W32" s="77"/>
      <c r="X32" s="78"/>
      <c r="Y32" s="71"/>
      <c r="Z32" s="71"/>
      <c r="AA32" s="71"/>
      <c r="AB32" s="71"/>
      <c r="AC32" s="71"/>
      <c r="AD32" s="71"/>
      <c r="AE32" s="71"/>
      <c r="AF32" s="167"/>
      <c r="AG32" s="71"/>
      <c r="AH32" s="97"/>
      <c r="AI32" s="102"/>
      <c r="AJ32" s="22" t="str">
        <f>IF(ISBLANK($AD$51),"L2",$AD$51)</f>
        <v>L2</v>
      </c>
      <c r="AK32" s="28"/>
      <c r="AL32" s="48">
        <v>0</v>
      </c>
      <c r="AM32" s="99"/>
      <c r="AN32" s="40"/>
      <c r="AO32" s="113"/>
    </row>
    <row r="33" spans="1:41" ht="24.95" customHeight="1" x14ac:dyDescent="0.25">
      <c r="A33" s="84" t="s">
        <v>64</v>
      </c>
      <c r="B33" s="95"/>
      <c r="C33" s="42"/>
      <c r="D33" s="79"/>
      <c r="E33" s="72"/>
      <c r="F33" s="72"/>
      <c r="G33" s="72"/>
      <c r="H33" s="72"/>
      <c r="I33" s="72"/>
      <c r="J33" s="72"/>
      <c r="K33" s="80"/>
      <c r="L33" s="118"/>
      <c r="M33" s="105" t="str">
        <f>IF(E31&gt;=1,ROW()-$O$16,"")</f>
        <v/>
      </c>
      <c r="N33" s="105"/>
      <c r="O33" s="105"/>
      <c r="P33" s="105"/>
      <c r="Q33" s="105"/>
      <c r="R33" s="105"/>
      <c r="S33" s="107"/>
      <c r="T33" s="71"/>
      <c r="U33" s="71"/>
      <c r="V33" s="71"/>
      <c r="W33" s="71"/>
      <c r="X33" s="71"/>
      <c r="Y33" s="71"/>
      <c r="Z33" s="71"/>
      <c r="AA33" s="71"/>
      <c r="AB33" s="71"/>
      <c r="AC33" s="71"/>
      <c r="AD33" s="71"/>
      <c r="AE33" s="71"/>
      <c r="AF33" s="167"/>
      <c r="AG33" s="71"/>
      <c r="AH33" s="97"/>
      <c r="AI33" s="102"/>
      <c r="AJ33" s="22" t="str">
        <f>IF(ISBLANK($AD$49),"K3",$AD$49)</f>
        <v>K3</v>
      </c>
      <c r="AK33" s="29"/>
      <c r="AL33" s="49">
        <v>0</v>
      </c>
      <c r="AM33" s="99"/>
      <c r="AN33" s="40"/>
      <c r="AO33" s="113"/>
    </row>
    <row r="34" spans="1:41" ht="24.95" customHeight="1" x14ac:dyDescent="0.25">
      <c r="A34" s="84" t="s">
        <v>98</v>
      </c>
      <c r="B34" s="95"/>
      <c r="C34" s="42"/>
      <c r="D34" s="79"/>
      <c r="E34" s="72"/>
      <c r="F34" s="72"/>
      <c r="G34" s="72"/>
      <c r="H34" s="72"/>
      <c r="I34" s="72"/>
      <c r="J34" s="72"/>
      <c r="K34" s="80"/>
      <c r="L34" s="118"/>
      <c r="M34" s="71"/>
      <c r="N34" s="71"/>
      <c r="O34" s="71" t="str">
        <f>IF(E32&gt;=1,ROW()-$O$16,"")</f>
        <v/>
      </c>
      <c r="P34" s="76"/>
      <c r="Q34" s="81"/>
      <c r="R34" s="71"/>
      <c r="S34" s="71"/>
      <c r="T34" s="71"/>
      <c r="U34" s="71"/>
      <c r="V34" s="71"/>
      <c r="W34" s="71"/>
      <c r="X34" s="71"/>
      <c r="Y34" s="71"/>
      <c r="Z34" s="71"/>
      <c r="AA34" s="71"/>
      <c r="AB34" s="71"/>
      <c r="AC34" s="71"/>
      <c r="AD34" s="71"/>
      <c r="AE34" s="71"/>
      <c r="AF34" s="167"/>
      <c r="AG34" s="71"/>
      <c r="AH34" s="98"/>
      <c r="AI34" s="103"/>
      <c r="AJ34" s="23" t="str">
        <f>IF(ISBLANK($AD$52),"L3",$AD$52)</f>
        <v>L3</v>
      </c>
      <c r="AK34" s="10"/>
      <c r="AL34" s="14">
        <v>0</v>
      </c>
      <c r="AM34" s="100"/>
      <c r="AN34" s="40"/>
      <c r="AO34" s="113"/>
    </row>
    <row r="35" spans="1:41" ht="24.95" customHeight="1" x14ac:dyDescent="0.25">
      <c r="A35" s="84" t="s">
        <v>104</v>
      </c>
      <c r="B35" s="95"/>
      <c r="C35" s="42"/>
      <c r="D35" s="79"/>
      <c r="E35" s="72"/>
      <c r="F35" s="72"/>
      <c r="G35" s="72"/>
      <c r="H35" s="72"/>
      <c r="I35" s="72"/>
      <c r="J35" s="72"/>
      <c r="K35" s="80"/>
      <c r="L35" s="118"/>
      <c r="M35" s="71"/>
      <c r="N35" s="82"/>
      <c r="O35" s="82"/>
      <c r="P35" s="82"/>
      <c r="Q35" s="82"/>
      <c r="R35" s="82"/>
      <c r="S35" s="82"/>
      <c r="T35" s="82"/>
      <c r="U35" s="82"/>
      <c r="V35" s="82"/>
      <c r="W35" s="82"/>
      <c r="X35" s="82"/>
      <c r="Y35" s="82"/>
      <c r="Z35" s="82"/>
      <c r="AA35" s="82"/>
      <c r="AB35" s="82"/>
      <c r="AC35" s="82"/>
      <c r="AD35" s="82"/>
      <c r="AE35" s="82"/>
      <c r="AF35" s="167"/>
      <c r="AG35" s="71"/>
      <c r="AH35" s="104"/>
      <c r="AI35" s="105"/>
      <c r="AJ35" s="106"/>
      <c r="AK35" s="106"/>
      <c r="AL35" s="106"/>
      <c r="AM35" s="107"/>
      <c r="AN35" s="40"/>
      <c r="AO35" s="113"/>
    </row>
    <row r="36" spans="1:41" ht="24.95" customHeight="1" x14ac:dyDescent="0.25">
      <c r="A36" s="84" t="s">
        <v>106</v>
      </c>
      <c r="B36" s="95"/>
      <c r="C36" s="42"/>
      <c r="D36" s="79"/>
      <c r="E36" s="72"/>
      <c r="F36" s="72"/>
      <c r="G36" s="72"/>
      <c r="H36" s="72"/>
      <c r="I36" s="72"/>
      <c r="J36" s="72"/>
      <c r="K36" s="80"/>
      <c r="L36" s="118"/>
      <c r="M36" s="129" t="s">
        <v>43</v>
      </c>
      <c r="N36" s="130"/>
      <c r="O36" s="130"/>
      <c r="P36" s="130"/>
      <c r="Q36" s="130"/>
      <c r="R36" s="130"/>
      <c r="S36" s="130"/>
      <c r="T36" s="130"/>
      <c r="U36" s="130"/>
      <c r="V36" s="130"/>
      <c r="W36" s="130"/>
      <c r="X36" s="130"/>
      <c r="Y36" s="130"/>
      <c r="Z36" s="130"/>
      <c r="AA36" s="130"/>
      <c r="AB36" s="130"/>
      <c r="AC36" s="130"/>
      <c r="AD36" s="130"/>
      <c r="AE36" s="131"/>
      <c r="AF36" s="167"/>
      <c r="AG36" s="71"/>
      <c r="AH36" s="71"/>
      <c r="AI36" s="71"/>
      <c r="AJ36" s="71"/>
      <c r="AK36" s="71"/>
      <c r="AL36" s="71"/>
      <c r="AM36" s="71"/>
      <c r="AN36" s="40"/>
      <c r="AO36" s="113"/>
    </row>
    <row r="37" spans="1:41" ht="24.95" customHeight="1" x14ac:dyDescent="0.25">
      <c r="A37" s="84" t="s">
        <v>105</v>
      </c>
      <c r="B37" s="95"/>
      <c r="C37" s="42"/>
      <c r="D37" s="79"/>
      <c r="E37" s="72"/>
      <c r="F37" s="72"/>
      <c r="G37" s="72"/>
      <c r="H37" s="72"/>
      <c r="I37" s="72"/>
      <c r="J37" s="72"/>
      <c r="K37" s="80"/>
      <c r="L37" s="118"/>
      <c r="M37" s="132"/>
      <c r="N37" s="133"/>
      <c r="O37" s="133"/>
      <c r="P37" s="133"/>
      <c r="Q37" s="133"/>
      <c r="R37" s="133"/>
      <c r="S37" s="133"/>
      <c r="T37" s="133"/>
      <c r="U37" s="133"/>
      <c r="V37" s="133"/>
      <c r="W37" s="133"/>
      <c r="X37" s="133"/>
      <c r="Y37" s="133"/>
      <c r="Z37" s="133"/>
      <c r="AA37" s="133"/>
      <c r="AB37" s="133"/>
      <c r="AC37" s="133"/>
      <c r="AD37" s="133"/>
      <c r="AE37" s="134"/>
      <c r="AF37" s="167"/>
      <c r="AG37" s="71"/>
      <c r="AH37" s="71"/>
      <c r="AI37" s="71"/>
      <c r="AJ37" s="71"/>
      <c r="AK37" s="71"/>
      <c r="AL37" s="71"/>
      <c r="AM37" s="71"/>
      <c r="AN37" s="40"/>
      <c r="AO37" s="113"/>
    </row>
    <row r="38" spans="1:41" ht="24.95" customHeight="1" x14ac:dyDescent="0.25">
      <c r="A38" s="84" t="s">
        <v>101</v>
      </c>
      <c r="B38" s="95"/>
      <c r="C38" s="42"/>
      <c r="D38" s="79"/>
      <c r="E38" s="72"/>
      <c r="F38" s="72"/>
      <c r="G38" s="72"/>
      <c r="H38" s="72"/>
      <c r="I38" s="72"/>
      <c r="J38" s="72"/>
      <c r="K38" s="80"/>
      <c r="L38" s="118"/>
      <c r="M38" s="135"/>
      <c r="N38" s="136"/>
      <c r="O38" s="136"/>
      <c r="P38" s="136"/>
      <c r="Q38" s="136"/>
      <c r="R38" s="136"/>
      <c r="S38" s="136"/>
      <c r="T38" s="136"/>
      <c r="U38" s="136"/>
      <c r="V38" s="136"/>
      <c r="W38" s="136"/>
      <c r="X38" s="136"/>
      <c r="Y38" s="136"/>
      <c r="Z38" s="136"/>
      <c r="AA38" s="136"/>
      <c r="AB38" s="136"/>
      <c r="AC38" s="136"/>
      <c r="AD38" s="136"/>
      <c r="AE38" s="137"/>
      <c r="AF38" s="167"/>
      <c r="AG38" s="71"/>
      <c r="AH38" s="71"/>
      <c r="AI38" s="71"/>
      <c r="AJ38" s="77"/>
      <c r="AK38" s="71"/>
      <c r="AL38" s="71"/>
      <c r="AM38" s="71"/>
      <c r="AN38" s="40"/>
      <c r="AO38" s="113"/>
    </row>
    <row r="39" spans="1:41" ht="24.95" customHeight="1" x14ac:dyDescent="0.25">
      <c r="A39" s="84" t="s">
        <v>103</v>
      </c>
      <c r="B39" s="95"/>
      <c r="C39" s="42"/>
      <c r="D39" s="79"/>
      <c r="E39" s="72"/>
      <c r="F39" s="72"/>
      <c r="G39" s="72"/>
      <c r="H39" s="72"/>
      <c r="I39" s="72"/>
      <c r="J39" s="72"/>
      <c r="K39" s="80"/>
      <c r="L39" s="118"/>
      <c r="M39" s="71"/>
      <c r="N39" s="71"/>
      <c r="O39" s="71"/>
      <c r="P39" s="71"/>
      <c r="Q39" s="71"/>
      <c r="R39" s="71"/>
      <c r="S39" s="71"/>
      <c r="T39" s="71"/>
      <c r="U39" s="71"/>
      <c r="V39" s="71"/>
      <c r="W39" s="71"/>
      <c r="X39" s="71"/>
      <c r="Y39" s="71"/>
      <c r="Z39" s="71"/>
      <c r="AA39" s="71"/>
      <c r="AB39" s="71"/>
      <c r="AC39" s="71"/>
      <c r="AD39" s="71"/>
      <c r="AE39" s="71"/>
      <c r="AF39" s="167"/>
      <c r="AG39" s="71"/>
      <c r="AH39" s="71"/>
      <c r="AI39" s="71"/>
      <c r="AJ39" s="71"/>
      <c r="AK39" s="71"/>
      <c r="AL39" s="71"/>
      <c r="AM39" s="71"/>
      <c r="AN39" s="40"/>
      <c r="AO39" s="113"/>
    </row>
    <row r="40" spans="1:41" ht="24.95" customHeight="1" x14ac:dyDescent="0.25">
      <c r="A40" s="84" t="s">
        <v>102</v>
      </c>
      <c r="B40" s="95"/>
      <c r="C40" s="42"/>
      <c r="D40" s="79"/>
      <c r="E40" s="72"/>
      <c r="F40" s="72"/>
      <c r="G40" s="72"/>
      <c r="H40" s="72"/>
      <c r="I40" s="72"/>
      <c r="J40" s="72"/>
      <c r="K40" s="80"/>
      <c r="L40" s="118"/>
      <c r="M40" s="71"/>
      <c r="N40" s="71"/>
      <c r="O40" s="71"/>
      <c r="P40" s="71"/>
      <c r="Q40" s="71"/>
      <c r="R40" s="71"/>
      <c r="S40" s="71"/>
      <c r="T40" s="71"/>
      <c r="U40" s="71"/>
      <c r="V40" s="71"/>
      <c r="W40" s="71"/>
      <c r="X40" s="71"/>
      <c r="Y40" s="71"/>
      <c r="Z40" s="71"/>
      <c r="AA40" s="71"/>
      <c r="AB40" s="71"/>
      <c r="AC40" s="71"/>
      <c r="AD40" s="71"/>
      <c r="AE40" s="71"/>
      <c r="AF40" s="167"/>
      <c r="AG40" s="71"/>
      <c r="AH40" s="71"/>
      <c r="AI40" s="71"/>
      <c r="AJ40" s="71"/>
      <c r="AK40" s="71"/>
      <c r="AL40" s="71"/>
      <c r="AM40" s="71"/>
      <c r="AN40" s="40"/>
      <c r="AO40" s="113"/>
    </row>
    <row r="41" spans="1:41" ht="24.95" customHeight="1" x14ac:dyDescent="0.25">
      <c r="A41" s="84" t="s">
        <v>122</v>
      </c>
      <c r="B41" s="95"/>
      <c r="C41" s="42"/>
      <c r="D41" s="79"/>
      <c r="E41" s="72"/>
      <c r="F41" s="72"/>
      <c r="G41" s="72"/>
      <c r="H41" s="72"/>
      <c r="I41" s="72"/>
      <c r="J41" s="72"/>
      <c r="K41" s="80"/>
      <c r="L41" s="118"/>
      <c r="M41" s="121" t="s">
        <v>44</v>
      </c>
      <c r="N41" s="121"/>
      <c r="O41" s="121"/>
      <c r="P41" s="121"/>
      <c r="Q41" s="121"/>
      <c r="R41" s="121"/>
      <c r="S41" s="122"/>
      <c r="T41" s="70"/>
      <c r="U41" s="120" t="s">
        <v>48</v>
      </c>
      <c r="V41" s="121"/>
      <c r="W41" s="121"/>
      <c r="X41" s="121"/>
      <c r="Y41" s="122"/>
      <c r="Z41" s="70"/>
      <c r="AA41" s="120" t="s">
        <v>51</v>
      </c>
      <c r="AB41" s="121"/>
      <c r="AC41" s="121"/>
      <c r="AD41" s="121"/>
      <c r="AE41" s="121"/>
      <c r="AF41" s="167"/>
      <c r="AG41" s="71"/>
      <c r="AH41" s="71"/>
      <c r="AI41" s="71"/>
      <c r="AJ41" s="71"/>
      <c r="AK41" s="71"/>
      <c r="AL41" s="71"/>
      <c r="AM41" s="71"/>
      <c r="AN41" s="40"/>
      <c r="AO41" s="113"/>
    </row>
    <row r="42" spans="1:41" ht="24.95" customHeight="1" x14ac:dyDescent="0.25">
      <c r="A42" s="84" t="s">
        <v>77</v>
      </c>
      <c r="B42" s="95"/>
      <c r="C42" s="42"/>
      <c r="D42" s="79"/>
      <c r="E42" s="72"/>
      <c r="F42" s="72"/>
      <c r="G42" s="72"/>
      <c r="H42" s="72"/>
      <c r="I42" s="72"/>
      <c r="J42" s="72"/>
      <c r="K42" s="80"/>
      <c r="L42" s="118"/>
      <c r="M42" s="124"/>
      <c r="N42" s="124"/>
      <c r="O42" s="124"/>
      <c r="P42" s="124"/>
      <c r="Q42" s="124"/>
      <c r="R42" s="124"/>
      <c r="S42" s="125"/>
      <c r="T42" s="70"/>
      <c r="U42" s="123"/>
      <c r="V42" s="124"/>
      <c r="W42" s="124"/>
      <c r="X42" s="124"/>
      <c r="Y42" s="125"/>
      <c r="Z42" s="70"/>
      <c r="AA42" s="123"/>
      <c r="AB42" s="124"/>
      <c r="AC42" s="124"/>
      <c r="AD42" s="124"/>
      <c r="AE42" s="124"/>
      <c r="AF42" s="167"/>
      <c r="AG42" s="71"/>
      <c r="AH42" s="71"/>
      <c r="AI42" s="71"/>
      <c r="AJ42" s="71"/>
      <c r="AK42" s="71"/>
      <c r="AL42" s="71"/>
      <c r="AM42" s="71"/>
      <c r="AN42" s="40"/>
      <c r="AO42" s="113"/>
    </row>
    <row r="43" spans="1:41" ht="24.95" customHeight="1" x14ac:dyDescent="0.25">
      <c r="A43" s="84" t="s">
        <v>86</v>
      </c>
      <c r="B43" s="95"/>
      <c r="C43" s="42"/>
      <c r="D43" s="79"/>
      <c r="E43" s="72"/>
      <c r="F43" s="72"/>
      <c r="G43" s="72"/>
      <c r="H43" s="72"/>
      <c r="I43" s="72"/>
      <c r="J43" s="72"/>
      <c r="K43" s="80"/>
      <c r="L43" s="118"/>
      <c r="M43" s="127"/>
      <c r="N43" s="127"/>
      <c r="O43" s="127"/>
      <c r="P43" s="127"/>
      <c r="Q43" s="127"/>
      <c r="R43" s="127"/>
      <c r="S43" s="128"/>
      <c r="T43" s="70"/>
      <c r="U43" s="126"/>
      <c r="V43" s="127"/>
      <c r="W43" s="127"/>
      <c r="X43" s="127"/>
      <c r="Y43" s="128"/>
      <c r="Z43" s="70"/>
      <c r="AA43" s="126"/>
      <c r="AB43" s="127"/>
      <c r="AC43" s="127"/>
      <c r="AD43" s="127"/>
      <c r="AE43" s="127"/>
      <c r="AF43" s="167"/>
      <c r="AG43" s="71"/>
      <c r="AH43" s="71"/>
      <c r="AI43" s="71"/>
      <c r="AJ43" s="71"/>
      <c r="AK43" s="71"/>
      <c r="AL43" s="71"/>
      <c r="AM43" s="71"/>
      <c r="AN43" s="40"/>
      <c r="AO43" s="113"/>
    </row>
    <row r="44" spans="1:41" ht="24.95" customHeight="1" x14ac:dyDescent="0.25">
      <c r="A44" s="84" t="s">
        <v>95</v>
      </c>
      <c r="B44" s="95"/>
      <c r="C44" s="42"/>
      <c r="D44" s="79"/>
      <c r="E44" s="72"/>
      <c r="F44" s="72"/>
      <c r="G44" s="72"/>
      <c r="H44" s="72"/>
      <c r="I44" s="72"/>
      <c r="J44" s="72"/>
      <c r="K44" s="80"/>
      <c r="L44" s="118"/>
      <c r="M44" s="105"/>
      <c r="N44" s="105"/>
      <c r="O44" s="105"/>
      <c r="P44" s="105"/>
      <c r="Q44" s="105"/>
      <c r="R44" s="105"/>
      <c r="S44" s="107"/>
      <c r="T44" s="71"/>
      <c r="U44" s="104"/>
      <c r="V44" s="105"/>
      <c r="W44" s="105"/>
      <c r="X44" s="105"/>
      <c r="Y44" s="107"/>
      <c r="Z44" s="71"/>
      <c r="AA44" s="104"/>
      <c r="AB44" s="105"/>
      <c r="AC44" s="105"/>
      <c r="AD44" s="105"/>
      <c r="AE44" s="105"/>
      <c r="AF44" s="167"/>
      <c r="AG44" s="71"/>
      <c r="AH44" s="71"/>
      <c r="AI44" s="71"/>
      <c r="AJ44" s="71"/>
      <c r="AK44" s="71"/>
      <c r="AL44" s="71"/>
      <c r="AM44" s="71"/>
      <c r="AN44" s="40"/>
      <c r="AO44" s="113"/>
    </row>
    <row r="45" spans="1:41" ht="24.95" customHeight="1" x14ac:dyDescent="0.3">
      <c r="A45" s="84" t="s">
        <v>94</v>
      </c>
      <c r="B45" s="95"/>
      <c r="C45" s="42"/>
      <c r="D45" s="79"/>
      <c r="E45" s="72"/>
      <c r="F45" s="72"/>
      <c r="G45" s="72"/>
      <c r="H45" s="72"/>
      <c r="I45" s="72"/>
      <c r="J45" s="72"/>
      <c r="K45" s="80"/>
      <c r="L45" s="118"/>
      <c r="M45" s="111"/>
      <c r="P45" s="18">
        <v>4</v>
      </c>
      <c r="Q45" s="19" t="s">
        <v>31</v>
      </c>
      <c r="R45" s="20"/>
      <c r="S45" s="96"/>
      <c r="T45" s="71"/>
      <c r="U45" s="96"/>
      <c r="V45" s="5">
        <v>4</v>
      </c>
      <c r="W45" s="138" t="s">
        <v>31</v>
      </c>
      <c r="X45" s="139"/>
      <c r="Y45" s="96"/>
      <c r="Z45" s="83"/>
      <c r="AA45" s="96"/>
      <c r="AB45" s="5">
        <v>6</v>
      </c>
      <c r="AC45" s="138" t="s">
        <v>31</v>
      </c>
      <c r="AD45" s="139"/>
      <c r="AE45" s="108"/>
      <c r="AF45" s="167"/>
      <c r="AG45" s="71"/>
      <c r="AH45" s="71"/>
      <c r="AI45" s="71"/>
      <c r="AJ45" s="71"/>
      <c r="AK45" s="71"/>
      <c r="AL45" s="71"/>
      <c r="AM45" s="71"/>
      <c r="AN45" s="40"/>
      <c r="AO45" s="113"/>
    </row>
    <row r="46" spans="1:41" ht="24.95" customHeight="1" x14ac:dyDescent="0.25">
      <c r="A46" s="84" t="s">
        <v>107</v>
      </c>
      <c r="B46" s="95"/>
      <c r="C46" s="42"/>
      <c r="D46" s="79"/>
      <c r="E46" s="72"/>
      <c r="F46" s="72"/>
      <c r="G46" s="72"/>
      <c r="H46" s="72"/>
      <c r="I46" s="72"/>
      <c r="J46" s="72"/>
      <c r="K46" s="80"/>
      <c r="L46" s="118"/>
      <c r="M46" s="99"/>
      <c r="P46" s="4" t="s">
        <v>32</v>
      </c>
      <c r="Q46" s="15" t="s">
        <v>1</v>
      </c>
      <c r="R46" s="4" t="s">
        <v>33</v>
      </c>
      <c r="S46" s="97"/>
      <c r="T46" s="71"/>
      <c r="U46" s="97"/>
      <c r="V46" s="4" t="s">
        <v>32</v>
      </c>
      <c r="W46" s="15" t="s">
        <v>1</v>
      </c>
      <c r="X46" s="4" t="s">
        <v>33</v>
      </c>
      <c r="Y46" s="97"/>
      <c r="Z46" s="72"/>
      <c r="AA46" s="97"/>
      <c r="AB46" s="4" t="s">
        <v>32</v>
      </c>
      <c r="AC46" s="15" t="s">
        <v>1</v>
      </c>
      <c r="AD46" s="15" t="s">
        <v>33</v>
      </c>
      <c r="AE46" s="109"/>
      <c r="AF46" s="167"/>
      <c r="AG46" s="71"/>
      <c r="AH46" s="71"/>
      <c r="AI46" s="71"/>
      <c r="AJ46" s="71"/>
      <c r="AK46" s="71"/>
      <c r="AL46" s="71"/>
      <c r="AM46" s="71"/>
      <c r="AN46" s="40"/>
      <c r="AO46" s="113"/>
    </row>
    <row r="47" spans="1:41" ht="24.95" customHeight="1" x14ac:dyDescent="0.25">
      <c r="A47" s="84" t="s">
        <v>108</v>
      </c>
      <c r="B47" s="95"/>
      <c r="C47" s="42"/>
      <c r="D47" s="79"/>
      <c r="E47" s="72"/>
      <c r="F47" s="72"/>
      <c r="G47" s="72"/>
      <c r="H47" s="72"/>
      <c r="I47" s="72"/>
      <c r="J47" s="72"/>
      <c r="K47" s="80"/>
      <c r="L47" s="118"/>
      <c r="M47" s="99"/>
      <c r="P47" s="140" t="s">
        <v>46</v>
      </c>
      <c r="Q47" s="11" t="str">
        <f>IF(ISBLANK($R$19),"A3",$R$19)</f>
        <v>A3</v>
      </c>
      <c r="R47" s="6"/>
      <c r="S47" s="97"/>
      <c r="T47" s="71"/>
      <c r="U47" s="97"/>
      <c r="V47" s="101" t="s">
        <v>50</v>
      </c>
      <c r="W47" s="11" t="str">
        <f>IF(ISBLANK($R$47),"G1",$R$47)</f>
        <v>G1</v>
      </c>
      <c r="X47" s="6"/>
      <c r="Y47" s="97"/>
      <c r="Z47" s="77"/>
      <c r="AA47" s="97"/>
      <c r="AB47" s="140" t="s">
        <v>57</v>
      </c>
      <c r="AC47" s="21" t="str">
        <f>IF(ISBLANK($AD$19),"WF3",$AD$19)</f>
        <v>WF3</v>
      </c>
      <c r="AD47" s="26"/>
      <c r="AE47" s="109"/>
      <c r="AF47" s="167"/>
      <c r="AG47" s="71"/>
      <c r="AH47" s="71"/>
      <c r="AI47" s="71"/>
      <c r="AJ47" s="71"/>
      <c r="AK47" s="71"/>
      <c r="AL47" s="71"/>
      <c r="AM47" s="71"/>
      <c r="AN47" s="40"/>
      <c r="AO47" s="113"/>
    </row>
    <row r="48" spans="1:41" ht="24.95" customHeight="1" x14ac:dyDescent="0.25">
      <c r="A48" s="84" t="s">
        <v>97</v>
      </c>
      <c r="B48" s="95"/>
      <c r="C48" s="42"/>
      <c r="D48" s="79"/>
      <c r="E48" s="72"/>
      <c r="F48" s="72"/>
      <c r="G48" s="72"/>
      <c r="H48" s="72"/>
      <c r="I48" s="72"/>
      <c r="J48" s="72"/>
      <c r="K48" s="80"/>
      <c r="L48" s="118"/>
      <c r="M48" s="99"/>
      <c r="P48" s="141"/>
      <c r="Q48" s="12" t="str">
        <f>IF(ISBLANK($R$27),"C3",$R$27)</f>
        <v>C3</v>
      </c>
      <c r="R48" s="14"/>
      <c r="S48" s="97"/>
      <c r="T48" s="71"/>
      <c r="U48" s="97"/>
      <c r="V48" s="102"/>
      <c r="W48" s="12" t="str">
        <f>IF(ISBLANK($R$52),"H2",$R$52)</f>
        <v>H2</v>
      </c>
      <c r="X48" s="14"/>
      <c r="Y48" s="97"/>
      <c r="Z48" s="77"/>
      <c r="AA48" s="97"/>
      <c r="AB48" s="141"/>
      <c r="AC48" s="22" t="str">
        <f>IF(ISBLANK($X$47),"I1",$X$47)</f>
        <v>I1</v>
      </c>
      <c r="AD48" s="25"/>
      <c r="AE48" s="109"/>
      <c r="AF48" s="167"/>
      <c r="AG48" s="71"/>
      <c r="AH48" s="71"/>
      <c r="AI48" s="71"/>
      <c r="AJ48" s="71"/>
      <c r="AK48" s="71"/>
      <c r="AL48" s="71"/>
      <c r="AM48" s="71"/>
      <c r="AN48" s="40"/>
      <c r="AO48" s="113"/>
    </row>
    <row r="49" spans="1:41" ht="24.95" customHeight="1" x14ac:dyDescent="0.25">
      <c r="A49" s="84" t="s">
        <v>61</v>
      </c>
      <c r="B49" s="95"/>
      <c r="C49" s="42"/>
      <c r="D49" s="79"/>
      <c r="E49" s="72"/>
      <c r="F49" s="72"/>
      <c r="G49" s="72"/>
      <c r="H49" s="72"/>
      <c r="I49" s="72"/>
      <c r="J49" s="72"/>
      <c r="K49" s="80"/>
      <c r="L49" s="118"/>
      <c r="M49" s="99"/>
      <c r="P49" s="141"/>
      <c r="Q49" s="12" t="str">
        <f>IF(ISBLANK($R$24),"B4",$R$24)</f>
        <v>B4</v>
      </c>
      <c r="R49" s="7"/>
      <c r="S49" s="97"/>
      <c r="T49" s="71"/>
      <c r="U49" s="97"/>
      <c r="V49" s="102"/>
      <c r="W49" s="12" t="str">
        <f>IF(ISBLANK($X$19),"E3",$X$19)</f>
        <v>E3</v>
      </c>
      <c r="X49" s="7"/>
      <c r="Y49" s="97"/>
      <c r="Z49" s="77"/>
      <c r="AA49" s="97"/>
      <c r="AB49" s="142"/>
      <c r="AC49" s="22" t="str">
        <f>IF(ISBLANK($X$52),"J2",$X$52)</f>
        <v>J2</v>
      </c>
      <c r="AD49" s="24"/>
      <c r="AE49" s="109"/>
      <c r="AF49" s="167"/>
      <c r="AG49" s="71"/>
      <c r="AH49" s="71"/>
      <c r="AI49" s="71"/>
      <c r="AJ49" s="71"/>
      <c r="AK49" s="71"/>
      <c r="AL49" s="71"/>
      <c r="AM49" s="71"/>
      <c r="AN49" s="40"/>
      <c r="AO49" s="113"/>
    </row>
    <row r="50" spans="1:41" ht="24.95" customHeight="1" x14ac:dyDescent="0.2">
      <c r="A50" s="84" t="s">
        <v>111</v>
      </c>
      <c r="B50" s="95"/>
      <c r="C50" s="41"/>
      <c r="D50" s="71"/>
      <c r="E50" s="73"/>
      <c r="F50" s="72"/>
      <c r="G50" s="73"/>
      <c r="H50" s="72"/>
      <c r="I50" s="72"/>
      <c r="J50" s="72"/>
      <c r="K50" s="71"/>
      <c r="L50" s="118"/>
      <c r="M50" s="99"/>
      <c r="P50" s="142"/>
      <c r="Q50" s="12" t="str">
        <f>IF(ISBLANK($R$32),"D4",$R$32)</f>
        <v>D4</v>
      </c>
      <c r="R50" s="8"/>
      <c r="S50" s="97"/>
      <c r="T50" s="71"/>
      <c r="U50" s="97"/>
      <c r="V50" s="103"/>
      <c r="W50" s="12" t="str">
        <f>IF(ISBLANK($X$24),"F4",$X$24)</f>
        <v>F4</v>
      </c>
      <c r="X50" s="8"/>
      <c r="Y50" s="97"/>
      <c r="Z50" s="77"/>
      <c r="AA50" s="97"/>
      <c r="AB50" s="102" t="s">
        <v>58</v>
      </c>
      <c r="AC50" s="21" t="str">
        <f>IF(ISBLANK($AD$20),"WF4",$AD$20)</f>
        <v>WF4</v>
      </c>
      <c r="AD50" s="26"/>
      <c r="AE50" s="109"/>
      <c r="AF50" s="167"/>
      <c r="AG50" s="71"/>
      <c r="AH50" s="71"/>
      <c r="AI50" s="71"/>
      <c r="AJ50" s="71"/>
      <c r="AK50" s="71"/>
      <c r="AL50" s="71"/>
      <c r="AM50" s="71"/>
      <c r="AN50" s="40"/>
      <c r="AO50" s="113"/>
    </row>
    <row r="51" spans="1:41" ht="24.95" customHeight="1" x14ac:dyDescent="0.2">
      <c r="A51" s="84" t="s">
        <v>60</v>
      </c>
      <c r="B51" s="95"/>
      <c r="C51" s="41"/>
      <c r="D51" s="71"/>
      <c r="E51" s="73"/>
      <c r="F51" s="72"/>
      <c r="G51" s="73"/>
      <c r="H51" s="72"/>
      <c r="I51" s="72"/>
      <c r="J51" s="72"/>
      <c r="K51" s="71"/>
      <c r="L51" s="118"/>
      <c r="M51" s="99"/>
      <c r="P51" s="140" t="s">
        <v>47</v>
      </c>
      <c r="Q51" s="11" t="str">
        <f>IF(ISBLANK($R$23),"B3",$R$23)</f>
        <v>B3</v>
      </c>
      <c r="R51" s="6"/>
      <c r="S51" s="97"/>
      <c r="T51" s="71"/>
      <c r="U51" s="97"/>
      <c r="V51" s="101" t="s">
        <v>49</v>
      </c>
      <c r="W51" s="11" t="str">
        <f>IF(ISBLANK($R$51),"H1",$R$51)</f>
        <v>H1</v>
      </c>
      <c r="X51" s="6"/>
      <c r="Y51" s="97"/>
      <c r="Z51" s="77"/>
      <c r="AA51" s="97"/>
      <c r="AB51" s="102"/>
      <c r="AC51" s="22" t="str">
        <f>IF(ISBLANK($X$51),"J1",$X$51)</f>
        <v>J1</v>
      </c>
      <c r="AD51" s="25"/>
      <c r="AE51" s="109"/>
      <c r="AF51" s="167"/>
      <c r="AG51" s="71"/>
      <c r="AH51" s="71"/>
      <c r="AI51" s="71"/>
      <c r="AJ51" s="71"/>
      <c r="AK51" s="71"/>
      <c r="AL51" s="71"/>
      <c r="AM51" s="71"/>
      <c r="AN51" s="40"/>
      <c r="AO51" s="113"/>
    </row>
    <row r="52" spans="1:41" ht="24.95" customHeight="1" x14ac:dyDescent="0.2">
      <c r="A52" s="84" t="s">
        <v>136</v>
      </c>
      <c r="B52" s="95"/>
      <c r="C52" s="41"/>
      <c r="D52" s="71"/>
      <c r="E52" s="73"/>
      <c r="F52" s="72"/>
      <c r="G52" s="73"/>
      <c r="H52" s="72"/>
      <c r="I52" s="72"/>
      <c r="J52" s="72"/>
      <c r="K52" s="71"/>
      <c r="L52" s="118"/>
      <c r="M52" s="99"/>
      <c r="P52" s="141"/>
      <c r="Q52" s="12" t="str">
        <f>IF(ISBLANK($R$31),"D3",$R$31)</f>
        <v>D3</v>
      </c>
      <c r="R52" s="14"/>
      <c r="S52" s="97"/>
      <c r="T52" s="71"/>
      <c r="U52" s="97"/>
      <c r="V52" s="102"/>
      <c r="W52" s="12" t="str">
        <f>IF(ISBLANK($R$48),"G2",$R$48)</f>
        <v>G2</v>
      </c>
      <c r="X52" s="14"/>
      <c r="Y52" s="97"/>
      <c r="Z52" s="77"/>
      <c r="AA52" s="98"/>
      <c r="AB52" s="102"/>
      <c r="AC52" s="22" t="str">
        <f>IF(ISBLANK($X$48),"I2",$X$48)</f>
        <v>I2</v>
      </c>
      <c r="AD52" s="25"/>
      <c r="AE52" s="110"/>
      <c r="AF52" s="167"/>
      <c r="AG52" s="71"/>
      <c r="AH52" s="71"/>
      <c r="AI52" s="71"/>
      <c r="AJ52" s="71"/>
      <c r="AK52" s="71"/>
      <c r="AL52" s="71"/>
      <c r="AM52" s="71"/>
      <c r="AN52" s="40"/>
      <c r="AO52" s="113"/>
    </row>
    <row r="53" spans="1:41" ht="24.95" customHeight="1" x14ac:dyDescent="0.2">
      <c r="A53" s="84" t="s">
        <v>65</v>
      </c>
      <c r="B53" s="95"/>
      <c r="C53" s="41"/>
      <c r="D53" s="71"/>
      <c r="E53" s="73"/>
      <c r="F53" s="72"/>
      <c r="G53" s="73"/>
      <c r="H53" s="72"/>
      <c r="I53" s="72"/>
      <c r="J53" s="72"/>
      <c r="K53" s="71"/>
      <c r="L53" s="118"/>
      <c r="M53" s="99"/>
      <c r="P53" s="141"/>
      <c r="Q53" s="12" t="str">
        <f>IF(ISBLANK($R$20),"A4",$R$20)</f>
        <v>A4</v>
      </c>
      <c r="R53" s="7"/>
      <c r="S53" s="97"/>
      <c r="T53" s="71"/>
      <c r="U53" s="97"/>
      <c r="V53" s="102"/>
      <c r="W53" s="12" t="str">
        <f>IF(ISBLANK($X$23),"F3",$X$23)</f>
        <v>F3</v>
      </c>
      <c r="X53" s="7"/>
      <c r="Y53" s="97"/>
      <c r="Z53" s="77"/>
      <c r="AA53" s="104"/>
      <c r="AB53" s="105"/>
      <c r="AC53" s="105"/>
      <c r="AD53" s="105"/>
      <c r="AE53" s="105"/>
      <c r="AF53" s="167"/>
      <c r="AG53" s="71"/>
      <c r="AH53" s="71"/>
      <c r="AI53" s="71"/>
      <c r="AJ53" s="71"/>
      <c r="AK53" s="71"/>
      <c r="AL53" s="71"/>
      <c r="AM53" s="71"/>
      <c r="AN53" s="40"/>
      <c r="AO53" s="113"/>
    </row>
    <row r="54" spans="1:41" ht="24.95" customHeight="1" x14ac:dyDescent="0.2">
      <c r="A54" s="84" t="s">
        <v>78</v>
      </c>
      <c r="B54" s="95"/>
      <c r="C54" s="41"/>
      <c r="D54" s="71"/>
      <c r="E54" s="73"/>
      <c r="F54" s="72"/>
      <c r="G54" s="73"/>
      <c r="H54" s="72"/>
      <c r="I54" s="72"/>
      <c r="J54" s="72"/>
      <c r="K54" s="71"/>
      <c r="L54" s="118"/>
      <c r="M54" s="100"/>
      <c r="P54" s="142"/>
      <c r="Q54" s="12" t="str">
        <f>IF(ISBLANK($R$28),"C4",$R$28)</f>
        <v>C4</v>
      </c>
      <c r="R54" s="7"/>
      <c r="S54" s="98"/>
      <c r="T54" s="71"/>
      <c r="U54" s="98"/>
      <c r="V54" s="103"/>
      <c r="W54" s="13" t="str">
        <f>IF(ISBLANK($X$20),"E4",$X$20)</f>
        <v>E4</v>
      </c>
      <c r="X54" s="8"/>
      <c r="Y54" s="98"/>
      <c r="Z54" s="77"/>
      <c r="AA54" s="71"/>
      <c r="AB54" s="71"/>
      <c r="AC54" s="71"/>
      <c r="AD54" s="71"/>
      <c r="AE54" s="71"/>
      <c r="AF54" s="167"/>
      <c r="AG54" s="71"/>
      <c r="AH54" s="71"/>
      <c r="AI54" s="71"/>
      <c r="AJ54" s="71"/>
      <c r="AK54" s="71"/>
      <c r="AL54" s="71"/>
      <c r="AM54" s="71"/>
      <c r="AN54" s="40"/>
      <c r="AO54" s="113"/>
    </row>
    <row r="55" spans="1:41" ht="24.95" customHeight="1" x14ac:dyDescent="0.2">
      <c r="A55" s="84" t="s">
        <v>85</v>
      </c>
      <c r="B55" s="95"/>
      <c r="C55" s="41"/>
      <c r="D55" s="71"/>
      <c r="E55" s="73"/>
      <c r="F55" s="72"/>
      <c r="G55" s="73"/>
      <c r="H55" s="72"/>
      <c r="I55" s="72"/>
      <c r="J55" s="72"/>
      <c r="K55" s="71"/>
      <c r="L55" s="118"/>
      <c r="M55" s="105"/>
      <c r="N55" s="105"/>
      <c r="O55" s="105"/>
      <c r="P55" s="105"/>
      <c r="Q55" s="105"/>
      <c r="R55" s="105"/>
      <c r="S55" s="107"/>
      <c r="T55" s="71"/>
      <c r="U55" s="104"/>
      <c r="V55" s="105"/>
      <c r="W55" s="106"/>
      <c r="X55" s="105"/>
      <c r="Y55" s="107"/>
      <c r="Z55" s="71"/>
      <c r="AA55" s="71"/>
      <c r="AB55" s="71"/>
      <c r="AC55" s="71"/>
      <c r="AD55" s="71"/>
      <c r="AE55" s="71"/>
      <c r="AF55" s="167"/>
      <c r="AG55" s="71"/>
      <c r="AH55" s="71"/>
      <c r="AI55" s="71"/>
      <c r="AJ55" s="71"/>
      <c r="AK55" s="71"/>
      <c r="AL55" s="71"/>
      <c r="AM55" s="71"/>
      <c r="AN55" s="40"/>
      <c r="AO55" s="113"/>
    </row>
    <row r="56" spans="1:41" ht="24.95" customHeight="1" x14ac:dyDescent="0.2">
      <c r="A56" s="84" t="s">
        <v>81</v>
      </c>
      <c r="B56" s="95"/>
      <c r="C56" s="41"/>
      <c r="D56" s="71"/>
      <c r="E56" s="73"/>
      <c r="F56" s="72"/>
      <c r="G56" s="73"/>
      <c r="H56" s="72"/>
      <c r="I56" s="72"/>
      <c r="J56" s="72"/>
      <c r="K56" s="71"/>
      <c r="L56" s="118"/>
      <c r="M56" s="71"/>
      <c r="N56" s="71"/>
      <c r="O56" s="71"/>
      <c r="P56" s="71"/>
      <c r="Q56" s="71"/>
      <c r="R56" s="71"/>
      <c r="S56" s="71"/>
      <c r="T56" s="71"/>
      <c r="U56" s="71"/>
      <c r="V56" s="71"/>
      <c r="W56" s="71"/>
      <c r="X56" s="71"/>
      <c r="Y56" s="71"/>
      <c r="Z56" s="71"/>
      <c r="AA56" s="71"/>
      <c r="AB56" s="71"/>
      <c r="AD56" s="71"/>
      <c r="AE56" s="71"/>
      <c r="AF56" s="167"/>
      <c r="AG56" s="71"/>
      <c r="AH56" s="71"/>
      <c r="AI56" s="71"/>
      <c r="AJ56" s="71"/>
      <c r="AK56" s="71"/>
      <c r="AL56" s="71"/>
      <c r="AM56" s="71"/>
      <c r="AN56" s="40"/>
      <c r="AO56" s="113"/>
    </row>
    <row r="57" spans="1:41" ht="24.95" customHeight="1" thickBot="1" x14ac:dyDescent="0.25">
      <c r="A57" s="84" t="s">
        <v>80</v>
      </c>
      <c r="B57" s="95"/>
      <c r="C57" s="43"/>
      <c r="D57" s="44"/>
      <c r="E57" s="45"/>
      <c r="F57" s="54"/>
      <c r="G57" s="45"/>
      <c r="H57" s="54"/>
      <c r="I57" s="54"/>
      <c r="J57" s="54"/>
      <c r="K57" s="44"/>
      <c r="L57" s="119"/>
      <c r="M57" s="44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4"/>
      <c r="Z57" s="44"/>
      <c r="AA57" s="44"/>
      <c r="AB57" s="44"/>
      <c r="AC57" s="44"/>
      <c r="AD57" s="44"/>
      <c r="AE57" s="44"/>
      <c r="AF57" s="168"/>
      <c r="AG57" s="44"/>
      <c r="AH57" s="44"/>
      <c r="AI57" s="44"/>
      <c r="AJ57" s="44"/>
      <c r="AK57" s="44"/>
      <c r="AL57" s="44"/>
      <c r="AM57" s="44"/>
      <c r="AN57" s="46"/>
      <c r="AO57" s="113"/>
    </row>
    <row r="58" spans="1:41" ht="24.95" customHeight="1" x14ac:dyDescent="0.2">
      <c r="A58" s="84" t="s">
        <v>82</v>
      </c>
      <c r="B58" s="95"/>
      <c r="C58" s="115"/>
      <c r="D58" s="115"/>
      <c r="E58" s="115"/>
      <c r="F58" s="115"/>
      <c r="G58" s="115"/>
      <c r="H58" s="115"/>
      <c r="I58" s="115"/>
      <c r="J58" s="115"/>
      <c r="K58" s="115"/>
      <c r="L58" s="115"/>
      <c r="M58" s="115"/>
      <c r="N58" s="115"/>
      <c r="O58" s="115"/>
      <c r="P58" s="115"/>
      <c r="Q58" s="115"/>
      <c r="R58" s="115"/>
      <c r="S58" s="115"/>
      <c r="T58" s="115"/>
      <c r="U58" s="115"/>
      <c r="V58" s="115"/>
      <c r="W58" s="115"/>
      <c r="X58" s="115"/>
      <c r="Y58" s="115"/>
      <c r="Z58" s="115"/>
      <c r="AA58" s="115"/>
      <c r="AB58" s="115"/>
      <c r="AC58" s="115"/>
      <c r="AD58" s="115"/>
      <c r="AE58" s="115"/>
      <c r="AF58" s="115"/>
      <c r="AG58" s="115"/>
      <c r="AH58" s="115"/>
      <c r="AI58" s="115"/>
      <c r="AJ58" s="115"/>
      <c r="AK58" s="115"/>
      <c r="AL58" s="115"/>
      <c r="AM58" s="115"/>
      <c r="AN58" s="115"/>
      <c r="AO58" s="113"/>
    </row>
    <row r="59" spans="1:41" ht="24.95" hidden="1" customHeight="1" x14ac:dyDescent="0.2">
      <c r="A59" s="84" t="s">
        <v>84</v>
      </c>
      <c r="B59" s="62"/>
      <c r="C59" s="55"/>
      <c r="D59" s="55"/>
      <c r="E59" s="55"/>
      <c r="F59" s="55"/>
      <c r="G59" s="55"/>
      <c r="H59" s="55"/>
      <c r="I59" s="55"/>
      <c r="J59" s="55"/>
      <c r="K59" s="55"/>
      <c r="L59" s="55"/>
      <c r="M59" s="55"/>
      <c r="N59" s="55"/>
      <c r="O59" s="55"/>
      <c r="P59" s="55"/>
      <c r="Q59" s="55"/>
      <c r="R59" s="55"/>
      <c r="S59" s="55"/>
      <c r="T59" s="55"/>
      <c r="U59" s="55"/>
      <c r="V59" s="55"/>
      <c r="W59" s="55"/>
      <c r="X59" s="55"/>
      <c r="Y59" s="55"/>
      <c r="Z59" s="55"/>
      <c r="AA59" s="55"/>
      <c r="AB59" s="55"/>
      <c r="AC59" s="55"/>
      <c r="AD59" s="55"/>
      <c r="AE59" s="55"/>
      <c r="AF59" s="55"/>
      <c r="AG59" s="55"/>
      <c r="AH59" s="55"/>
      <c r="AI59" s="55"/>
      <c r="AJ59" s="55"/>
      <c r="AK59" s="55"/>
      <c r="AL59" s="55"/>
      <c r="AM59" s="55"/>
      <c r="AN59" s="55"/>
      <c r="AO59" s="113"/>
    </row>
    <row r="60" spans="1:41" ht="24.95" hidden="1" customHeight="1" x14ac:dyDescent="0.2">
      <c r="A60" s="84" t="s">
        <v>128</v>
      </c>
      <c r="B60" s="62"/>
      <c r="C60" s="55"/>
      <c r="D60" s="55"/>
      <c r="E60" s="55"/>
      <c r="F60" s="55"/>
      <c r="G60" s="55"/>
      <c r="H60" s="55"/>
      <c r="I60" s="55"/>
      <c r="J60" s="55"/>
      <c r="K60" s="55"/>
      <c r="L60" s="55"/>
      <c r="M60" s="55"/>
      <c r="N60" s="55"/>
      <c r="O60" s="55"/>
      <c r="P60" s="55"/>
      <c r="Q60" s="55"/>
      <c r="R60" s="55"/>
      <c r="S60" s="55"/>
      <c r="T60" s="55"/>
      <c r="U60" s="55"/>
      <c r="V60" s="55"/>
      <c r="W60" s="55"/>
      <c r="X60" s="55"/>
      <c r="Y60" s="55"/>
      <c r="Z60" s="55"/>
      <c r="AA60" s="55"/>
      <c r="AB60" s="55"/>
      <c r="AC60" s="55"/>
      <c r="AD60" s="55"/>
      <c r="AE60" s="55"/>
      <c r="AF60" s="55"/>
      <c r="AG60" s="55"/>
      <c r="AH60" s="55"/>
      <c r="AI60" s="55"/>
      <c r="AJ60" s="55"/>
      <c r="AK60" s="55"/>
      <c r="AL60" s="55"/>
      <c r="AM60" s="55"/>
      <c r="AN60" s="55"/>
      <c r="AO60" s="113"/>
    </row>
    <row r="61" spans="1:41" ht="24.95" hidden="1" customHeight="1" x14ac:dyDescent="0.2">
      <c r="A61" s="84" t="s">
        <v>83</v>
      </c>
      <c r="B61" s="62"/>
      <c r="C61" s="55"/>
      <c r="D61" s="55"/>
      <c r="E61" s="55"/>
      <c r="F61" s="55"/>
      <c r="G61" s="55"/>
      <c r="H61" s="55"/>
      <c r="I61" s="55"/>
      <c r="J61" s="55"/>
      <c r="K61" s="55"/>
      <c r="L61" s="55"/>
      <c r="M61" s="55"/>
      <c r="N61" s="55"/>
      <c r="O61" s="55"/>
      <c r="P61" s="55"/>
      <c r="Q61" s="55"/>
      <c r="R61" s="55"/>
      <c r="S61" s="55"/>
      <c r="T61" s="55"/>
      <c r="U61" s="55"/>
      <c r="V61" s="55"/>
      <c r="W61" s="55"/>
      <c r="X61" s="55"/>
      <c r="Y61" s="55"/>
      <c r="Z61" s="55"/>
      <c r="AA61" s="55"/>
      <c r="AB61" s="55"/>
      <c r="AC61" s="55"/>
      <c r="AD61" s="55"/>
      <c r="AE61" s="55"/>
      <c r="AF61" s="55"/>
      <c r="AG61" s="55"/>
      <c r="AH61" s="55"/>
      <c r="AI61" s="55"/>
      <c r="AJ61" s="55"/>
      <c r="AK61" s="55"/>
      <c r="AL61" s="55"/>
      <c r="AM61" s="55"/>
      <c r="AN61" s="55"/>
      <c r="AO61" s="113"/>
    </row>
    <row r="62" spans="1:41" ht="24.95" hidden="1" customHeight="1" x14ac:dyDescent="0.2">
      <c r="A62" s="84" t="s">
        <v>79</v>
      </c>
      <c r="B62" s="62"/>
      <c r="C62" s="55"/>
      <c r="D62" s="55"/>
      <c r="E62" s="55"/>
      <c r="F62" s="55"/>
      <c r="G62" s="55"/>
      <c r="H62" s="55"/>
      <c r="I62" s="55"/>
      <c r="J62" s="55"/>
      <c r="K62" s="55"/>
      <c r="L62" s="55"/>
      <c r="M62" s="55"/>
      <c r="N62" s="55"/>
      <c r="O62" s="55"/>
      <c r="P62" s="55"/>
      <c r="Q62" s="55"/>
      <c r="R62" s="55"/>
      <c r="S62" s="55"/>
      <c r="T62" s="55"/>
      <c r="U62" s="55"/>
      <c r="V62" s="55"/>
      <c r="W62" s="55"/>
      <c r="X62" s="55"/>
      <c r="Y62" s="55"/>
      <c r="Z62" s="55"/>
      <c r="AA62" s="55"/>
      <c r="AB62" s="55"/>
      <c r="AC62" s="55"/>
      <c r="AD62" s="55"/>
      <c r="AE62" s="55"/>
      <c r="AF62" s="55"/>
      <c r="AG62" s="55"/>
      <c r="AH62" s="55"/>
      <c r="AI62" s="55"/>
      <c r="AJ62" s="55"/>
      <c r="AK62" s="55"/>
      <c r="AL62" s="55"/>
      <c r="AM62" s="55"/>
      <c r="AN62" s="55"/>
      <c r="AO62" s="113"/>
    </row>
    <row r="63" spans="1:41" ht="24.95" hidden="1" customHeight="1" x14ac:dyDescent="0.2">
      <c r="A63" s="84" t="s">
        <v>135</v>
      </c>
      <c r="B63" s="62"/>
      <c r="C63" s="55"/>
      <c r="D63" s="55"/>
      <c r="E63" s="55"/>
      <c r="F63" s="55"/>
      <c r="G63" s="55"/>
      <c r="H63" s="55"/>
      <c r="I63" s="55"/>
      <c r="J63" s="55"/>
      <c r="K63" s="55"/>
      <c r="L63" s="55"/>
      <c r="M63" s="55"/>
      <c r="N63" s="55"/>
      <c r="O63" s="55"/>
      <c r="P63" s="55"/>
      <c r="Q63" s="55"/>
      <c r="R63" s="55"/>
      <c r="S63" s="55"/>
      <c r="T63" s="55"/>
      <c r="U63" s="55"/>
      <c r="V63" s="55"/>
      <c r="W63" s="55"/>
      <c r="X63" s="55"/>
      <c r="Y63" s="55"/>
      <c r="Z63" s="55"/>
      <c r="AA63" s="55"/>
      <c r="AB63" s="55"/>
      <c r="AC63" s="55"/>
      <c r="AD63" s="55"/>
      <c r="AE63" s="55"/>
      <c r="AF63" s="55"/>
      <c r="AG63" s="55"/>
      <c r="AH63" s="55"/>
      <c r="AI63" s="55"/>
      <c r="AJ63" s="55"/>
      <c r="AK63" s="55"/>
      <c r="AL63" s="55"/>
      <c r="AM63" s="55"/>
      <c r="AN63" s="55"/>
      <c r="AO63" s="113"/>
    </row>
    <row r="64" spans="1:41" ht="24.95" hidden="1" customHeight="1" x14ac:dyDescent="0.2">
      <c r="A64" s="84" t="s">
        <v>127</v>
      </c>
      <c r="B64" s="62"/>
      <c r="C64" s="55"/>
      <c r="D64" s="55"/>
      <c r="E64" s="55"/>
      <c r="F64" s="55"/>
      <c r="G64" s="55"/>
      <c r="H64" s="55"/>
      <c r="I64" s="55"/>
      <c r="J64" s="55"/>
      <c r="K64" s="55"/>
      <c r="L64" s="55"/>
      <c r="M64" s="55"/>
      <c r="N64" s="55"/>
      <c r="O64" s="55"/>
      <c r="P64" s="55"/>
      <c r="Q64" s="55"/>
      <c r="R64" s="55"/>
      <c r="S64" s="55"/>
      <c r="T64" s="55"/>
      <c r="U64" s="55"/>
      <c r="V64" s="55"/>
      <c r="W64" s="55"/>
      <c r="X64" s="55"/>
      <c r="Y64" s="55"/>
      <c r="Z64" s="55"/>
      <c r="AA64" s="55"/>
      <c r="AB64" s="55"/>
      <c r="AC64" s="55"/>
      <c r="AD64" s="55"/>
      <c r="AE64" s="55"/>
      <c r="AF64" s="55"/>
      <c r="AG64" s="55"/>
      <c r="AH64" s="55"/>
      <c r="AI64" s="55"/>
      <c r="AJ64" s="55"/>
      <c r="AK64" s="55"/>
      <c r="AL64" s="55"/>
      <c r="AM64" s="55"/>
      <c r="AN64" s="55"/>
      <c r="AO64" s="113"/>
    </row>
    <row r="65" spans="1:41" ht="24.95" hidden="1" customHeight="1" x14ac:dyDescent="0.2">
      <c r="A65" s="84" t="s">
        <v>100</v>
      </c>
      <c r="B65" s="62"/>
      <c r="C65" s="55"/>
      <c r="D65" s="55"/>
      <c r="E65" s="55"/>
      <c r="F65" s="55"/>
      <c r="G65" s="55"/>
      <c r="H65" s="55"/>
      <c r="I65" s="55"/>
      <c r="J65" s="55"/>
      <c r="K65" s="55"/>
      <c r="L65" s="55"/>
      <c r="M65" s="55"/>
      <c r="N65" s="55"/>
      <c r="O65" s="55"/>
      <c r="P65" s="55"/>
      <c r="Q65" s="55"/>
      <c r="R65" s="55"/>
      <c r="S65" s="55"/>
      <c r="T65" s="55"/>
      <c r="U65" s="55"/>
      <c r="V65" s="55"/>
      <c r="W65" s="55"/>
      <c r="X65" s="55"/>
      <c r="Y65" s="55"/>
      <c r="Z65" s="55"/>
      <c r="AA65" s="55"/>
      <c r="AB65" s="55"/>
      <c r="AC65" s="55"/>
      <c r="AD65" s="55"/>
      <c r="AE65" s="55"/>
      <c r="AF65" s="55"/>
      <c r="AG65" s="55"/>
      <c r="AH65" s="55"/>
      <c r="AI65" s="55"/>
      <c r="AJ65" s="55"/>
      <c r="AK65" s="55"/>
      <c r="AL65" s="55"/>
      <c r="AM65" s="55"/>
      <c r="AN65" s="55"/>
      <c r="AO65" s="113"/>
    </row>
    <row r="66" spans="1:41" ht="24.95" hidden="1" customHeight="1" x14ac:dyDescent="0.2">
      <c r="A66" s="84" t="s">
        <v>148</v>
      </c>
      <c r="B66" s="62"/>
      <c r="C66" s="55"/>
      <c r="D66" s="55"/>
      <c r="E66" s="55"/>
      <c r="F66" s="55"/>
      <c r="G66" s="55"/>
      <c r="H66" s="55"/>
      <c r="I66" s="55"/>
      <c r="J66" s="55"/>
      <c r="K66" s="55"/>
      <c r="L66" s="55"/>
      <c r="M66" s="55"/>
      <c r="N66" s="55"/>
      <c r="O66" s="55"/>
      <c r="P66" s="55"/>
      <c r="Q66" s="55"/>
      <c r="R66" s="55"/>
      <c r="S66" s="55"/>
      <c r="T66" s="55"/>
      <c r="U66" s="55"/>
      <c r="V66" s="55"/>
      <c r="W66" s="55"/>
      <c r="X66" s="55"/>
      <c r="Y66" s="55"/>
      <c r="Z66" s="55"/>
      <c r="AA66" s="55"/>
      <c r="AB66" s="55"/>
      <c r="AC66" s="55"/>
      <c r="AD66" s="55"/>
      <c r="AE66" s="55"/>
      <c r="AF66" s="55"/>
      <c r="AG66" s="55"/>
      <c r="AH66" s="55"/>
      <c r="AI66" s="55"/>
      <c r="AJ66" s="55"/>
      <c r="AK66" s="55"/>
      <c r="AL66" s="55"/>
      <c r="AM66" s="55"/>
      <c r="AN66" s="55"/>
      <c r="AO66" s="113"/>
    </row>
    <row r="67" spans="1:41" ht="24.95" hidden="1" customHeight="1" x14ac:dyDescent="0.2">
      <c r="A67" s="84" t="s">
        <v>149</v>
      </c>
      <c r="B67" s="62"/>
      <c r="C67" s="55"/>
      <c r="D67" s="55"/>
      <c r="E67" s="55"/>
      <c r="F67" s="55"/>
      <c r="G67" s="55"/>
      <c r="H67" s="55"/>
      <c r="I67" s="55"/>
      <c r="J67" s="55"/>
      <c r="K67" s="55"/>
      <c r="L67" s="55"/>
      <c r="M67" s="55"/>
      <c r="N67" s="55"/>
      <c r="O67" s="55"/>
      <c r="P67" s="55"/>
      <c r="Q67" s="55"/>
      <c r="R67" s="55"/>
      <c r="S67" s="55"/>
      <c r="T67" s="55"/>
      <c r="U67" s="55"/>
      <c r="V67" s="55"/>
      <c r="W67" s="55"/>
      <c r="X67" s="55"/>
      <c r="Y67" s="55"/>
      <c r="Z67" s="55"/>
      <c r="AA67" s="55"/>
      <c r="AB67" s="55"/>
      <c r="AC67" s="55"/>
      <c r="AD67" s="55"/>
      <c r="AE67" s="55"/>
      <c r="AF67" s="55"/>
      <c r="AG67" s="55"/>
      <c r="AH67" s="55"/>
      <c r="AI67" s="55"/>
      <c r="AJ67" s="55"/>
      <c r="AK67" s="55"/>
      <c r="AL67" s="55"/>
      <c r="AM67" s="55"/>
      <c r="AN67" s="55"/>
      <c r="AO67" s="113"/>
    </row>
    <row r="68" spans="1:41" ht="24.95" hidden="1" customHeight="1" x14ac:dyDescent="0.2">
      <c r="A68" s="84" t="s">
        <v>150</v>
      </c>
      <c r="B68" s="62"/>
      <c r="C68" s="55"/>
      <c r="D68" s="55"/>
      <c r="E68" s="55"/>
      <c r="F68" s="55"/>
      <c r="G68" s="55"/>
      <c r="H68" s="55"/>
      <c r="I68" s="55"/>
      <c r="J68" s="55"/>
      <c r="K68" s="55"/>
      <c r="L68" s="55"/>
      <c r="M68" s="55"/>
      <c r="N68" s="55"/>
      <c r="O68" s="55"/>
      <c r="P68" s="55"/>
      <c r="Q68" s="55"/>
      <c r="R68" s="55"/>
      <c r="S68" s="55"/>
      <c r="T68" s="55"/>
      <c r="U68" s="55"/>
      <c r="V68" s="55"/>
      <c r="W68" s="55"/>
      <c r="X68" s="55"/>
      <c r="Y68" s="55"/>
      <c r="Z68" s="55"/>
      <c r="AA68" s="55"/>
      <c r="AB68" s="55"/>
      <c r="AC68" s="55"/>
      <c r="AD68" s="55"/>
      <c r="AE68" s="55"/>
      <c r="AF68" s="55"/>
      <c r="AG68" s="55"/>
      <c r="AH68" s="55"/>
      <c r="AI68" s="55"/>
      <c r="AJ68" s="55"/>
      <c r="AK68" s="55"/>
      <c r="AL68" s="55"/>
      <c r="AM68" s="55"/>
      <c r="AN68" s="55"/>
      <c r="AO68" s="113"/>
    </row>
    <row r="69" spans="1:41" ht="24.95" hidden="1" customHeight="1" x14ac:dyDescent="0.2">
      <c r="A69" s="84" t="s">
        <v>126</v>
      </c>
      <c r="B69" s="62"/>
      <c r="C69" s="55"/>
      <c r="D69" s="55"/>
      <c r="E69" s="55"/>
      <c r="F69" s="55"/>
      <c r="G69" s="55"/>
      <c r="H69" s="55"/>
      <c r="I69" s="55"/>
      <c r="J69" s="55"/>
      <c r="K69" s="55"/>
      <c r="L69" s="55"/>
      <c r="M69" s="55"/>
      <c r="N69" s="55"/>
      <c r="O69" s="55"/>
      <c r="P69" s="55"/>
      <c r="Q69" s="55"/>
      <c r="R69" s="55"/>
      <c r="S69" s="55"/>
      <c r="T69" s="55"/>
      <c r="U69" s="55"/>
      <c r="V69" s="55"/>
      <c r="W69" s="55"/>
      <c r="X69" s="55"/>
      <c r="Y69" s="55"/>
      <c r="Z69" s="55"/>
      <c r="AA69" s="55"/>
      <c r="AB69" s="55"/>
      <c r="AC69" s="55"/>
      <c r="AD69" s="55"/>
      <c r="AE69" s="55"/>
      <c r="AF69" s="55"/>
      <c r="AG69" s="55"/>
      <c r="AH69" s="55"/>
      <c r="AI69" s="55"/>
      <c r="AJ69" s="55"/>
      <c r="AK69" s="55"/>
      <c r="AL69" s="55"/>
      <c r="AM69" s="55"/>
      <c r="AN69" s="55"/>
      <c r="AO69" s="113"/>
    </row>
    <row r="70" spans="1:41" ht="24.95" hidden="1" customHeight="1" x14ac:dyDescent="0.2">
      <c r="A70" s="84" t="s">
        <v>62</v>
      </c>
      <c r="B70" s="62"/>
      <c r="C70" s="55"/>
      <c r="D70" s="55"/>
      <c r="E70" s="55"/>
      <c r="F70" s="55"/>
      <c r="G70" s="55"/>
      <c r="H70" s="55"/>
      <c r="I70" s="55"/>
      <c r="J70" s="55"/>
      <c r="K70" s="55"/>
      <c r="L70" s="55"/>
      <c r="M70" s="55"/>
      <c r="N70" s="55"/>
      <c r="O70" s="55"/>
      <c r="P70" s="55"/>
      <c r="Q70" s="55"/>
      <c r="R70" s="55"/>
      <c r="S70" s="55"/>
      <c r="T70" s="55"/>
      <c r="U70" s="55"/>
      <c r="V70" s="55"/>
      <c r="W70" s="55"/>
      <c r="X70" s="55"/>
      <c r="Y70" s="55"/>
      <c r="Z70" s="55"/>
      <c r="AA70" s="55"/>
      <c r="AB70" s="55"/>
      <c r="AC70" s="55"/>
      <c r="AD70" s="55"/>
      <c r="AE70" s="55"/>
      <c r="AF70" s="55"/>
      <c r="AG70" s="55"/>
      <c r="AH70" s="55"/>
      <c r="AI70" s="55"/>
      <c r="AJ70" s="55"/>
      <c r="AK70" s="55"/>
      <c r="AL70" s="55"/>
      <c r="AM70" s="55"/>
      <c r="AN70" s="55"/>
      <c r="AO70" s="113"/>
    </row>
    <row r="71" spans="1:41" ht="24.95" hidden="1" customHeight="1" x14ac:dyDescent="0.2">
      <c r="A71" s="84" t="s">
        <v>66</v>
      </c>
      <c r="B71" s="62"/>
      <c r="C71" s="55"/>
      <c r="D71" s="55"/>
      <c r="E71" s="55"/>
      <c r="F71" s="55"/>
      <c r="G71" s="55"/>
      <c r="H71" s="55"/>
      <c r="I71" s="55"/>
      <c r="J71" s="55"/>
      <c r="K71" s="55"/>
      <c r="L71" s="55"/>
      <c r="M71" s="55"/>
      <c r="N71" s="55"/>
      <c r="O71" s="55"/>
      <c r="P71" s="55"/>
      <c r="Q71" s="55"/>
      <c r="R71" s="55"/>
      <c r="S71" s="55"/>
      <c r="T71" s="55"/>
      <c r="U71" s="55"/>
      <c r="V71" s="55"/>
      <c r="W71" s="55"/>
      <c r="X71" s="55"/>
      <c r="Y71" s="55"/>
      <c r="Z71" s="55"/>
      <c r="AA71" s="55"/>
      <c r="AB71" s="55"/>
      <c r="AC71" s="55"/>
      <c r="AD71" s="55"/>
      <c r="AE71" s="55"/>
      <c r="AF71" s="55"/>
      <c r="AG71" s="55"/>
      <c r="AH71" s="55"/>
      <c r="AI71" s="55"/>
      <c r="AJ71" s="55"/>
      <c r="AK71" s="55"/>
      <c r="AL71" s="55"/>
      <c r="AM71" s="55"/>
      <c r="AN71" s="55"/>
      <c r="AO71" s="113"/>
    </row>
    <row r="72" spans="1:41" ht="24.95" hidden="1" customHeight="1" x14ac:dyDescent="0.2">
      <c r="A72" s="84" t="s">
        <v>137</v>
      </c>
      <c r="B72" s="62"/>
      <c r="C72" s="55"/>
      <c r="D72" s="55"/>
      <c r="E72" s="55"/>
      <c r="F72" s="55"/>
      <c r="G72" s="55"/>
      <c r="H72" s="55"/>
      <c r="I72" s="55"/>
      <c r="J72" s="55"/>
      <c r="K72" s="55"/>
      <c r="L72" s="55"/>
      <c r="M72" s="55"/>
      <c r="N72" s="55"/>
      <c r="O72" s="55"/>
      <c r="P72" s="55"/>
      <c r="Q72" s="55"/>
      <c r="R72" s="55"/>
      <c r="S72" s="55"/>
      <c r="T72" s="55"/>
      <c r="U72" s="55"/>
      <c r="V72" s="55"/>
      <c r="W72" s="55"/>
      <c r="X72" s="55"/>
      <c r="Y72" s="55"/>
      <c r="Z72" s="55"/>
      <c r="AA72" s="55"/>
      <c r="AB72" s="55"/>
      <c r="AC72" s="55"/>
      <c r="AD72" s="55"/>
      <c r="AE72" s="55"/>
      <c r="AF72" s="55"/>
      <c r="AG72" s="55"/>
      <c r="AH72" s="55"/>
      <c r="AI72" s="55"/>
      <c r="AJ72" s="55"/>
      <c r="AK72" s="55"/>
      <c r="AL72" s="55"/>
      <c r="AM72" s="55"/>
      <c r="AN72" s="55"/>
      <c r="AO72" s="113"/>
    </row>
    <row r="73" spans="1:41" ht="24.95" hidden="1" customHeight="1" x14ac:dyDescent="0.2">
      <c r="A73" s="84" t="s">
        <v>123</v>
      </c>
      <c r="B73" s="62"/>
      <c r="C73" s="55"/>
      <c r="D73" s="55"/>
      <c r="E73" s="55"/>
      <c r="F73" s="55"/>
      <c r="G73" s="55"/>
      <c r="H73" s="55"/>
      <c r="I73" s="55"/>
      <c r="J73" s="55"/>
      <c r="K73" s="55"/>
      <c r="L73" s="55"/>
      <c r="M73" s="55"/>
      <c r="N73" s="55"/>
      <c r="O73" s="55"/>
      <c r="P73" s="55"/>
      <c r="Q73" s="55"/>
      <c r="R73" s="55"/>
      <c r="S73" s="55"/>
      <c r="T73" s="55"/>
      <c r="U73" s="55"/>
      <c r="V73" s="55"/>
      <c r="W73" s="55"/>
      <c r="X73" s="55"/>
      <c r="Y73" s="55"/>
      <c r="Z73" s="55"/>
      <c r="AA73" s="55"/>
      <c r="AB73" s="55"/>
      <c r="AC73" s="55"/>
      <c r="AD73" s="55"/>
      <c r="AE73" s="55"/>
      <c r="AF73" s="55"/>
      <c r="AG73" s="55"/>
      <c r="AH73" s="55"/>
      <c r="AI73" s="55"/>
      <c r="AJ73" s="55"/>
      <c r="AK73" s="55"/>
      <c r="AL73" s="55"/>
      <c r="AM73" s="55"/>
      <c r="AN73" s="55"/>
      <c r="AO73" s="113"/>
    </row>
    <row r="74" spans="1:41" ht="24.95" hidden="1" customHeight="1" x14ac:dyDescent="0.2">
      <c r="A74" s="84" t="s">
        <v>151</v>
      </c>
      <c r="B74" s="62"/>
      <c r="C74" s="55"/>
      <c r="D74" s="55"/>
      <c r="E74" s="55"/>
      <c r="F74" s="55"/>
      <c r="G74" s="55"/>
      <c r="H74" s="55"/>
      <c r="I74" s="55"/>
      <c r="J74" s="55"/>
      <c r="K74" s="55"/>
      <c r="L74" s="55"/>
      <c r="M74" s="55"/>
      <c r="N74" s="55"/>
      <c r="O74" s="55"/>
      <c r="P74" s="55"/>
      <c r="Q74" s="55"/>
      <c r="R74" s="55"/>
      <c r="S74" s="55"/>
      <c r="T74" s="55"/>
      <c r="U74" s="55"/>
      <c r="V74" s="55"/>
      <c r="W74" s="55"/>
      <c r="X74" s="55"/>
      <c r="Y74" s="55"/>
      <c r="Z74" s="55"/>
      <c r="AA74" s="55"/>
      <c r="AB74" s="55"/>
      <c r="AC74" s="55"/>
      <c r="AD74" s="55"/>
      <c r="AE74" s="55"/>
      <c r="AF74" s="55"/>
      <c r="AG74" s="55"/>
      <c r="AH74" s="55"/>
      <c r="AI74" s="55"/>
      <c r="AJ74" s="55"/>
      <c r="AK74" s="55"/>
      <c r="AL74" s="55"/>
      <c r="AM74" s="55"/>
      <c r="AN74" s="55"/>
      <c r="AO74" s="113"/>
    </row>
    <row r="75" spans="1:41" ht="24.95" hidden="1" customHeight="1" x14ac:dyDescent="0.2">
      <c r="A75" s="84" t="s">
        <v>152</v>
      </c>
      <c r="B75" s="62"/>
      <c r="C75" s="55"/>
      <c r="D75" s="55"/>
      <c r="E75" s="55"/>
      <c r="F75" s="55"/>
      <c r="G75" s="55"/>
      <c r="H75" s="55"/>
      <c r="I75" s="55"/>
      <c r="J75" s="55"/>
      <c r="K75" s="55"/>
      <c r="L75" s="55"/>
      <c r="M75" s="55"/>
      <c r="N75" s="55"/>
      <c r="O75" s="55"/>
      <c r="P75" s="55"/>
      <c r="Q75" s="55"/>
      <c r="R75" s="55"/>
      <c r="S75" s="55"/>
      <c r="T75" s="55"/>
      <c r="U75" s="55"/>
      <c r="V75" s="55"/>
      <c r="W75" s="55"/>
      <c r="X75" s="55"/>
      <c r="Y75" s="55"/>
      <c r="Z75" s="55"/>
      <c r="AA75" s="55"/>
      <c r="AB75" s="55"/>
      <c r="AC75" s="55"/>
      <c r="AD75" s="55"/>
      <c r="AE75" s="55"/>
      <c r="AF75" s="55"/>
      <c r="AG75" s="55"/>
      <c r="AH75" s="55"/>
      <c r="AI75" s="55"/>
      <c r="AJ75" s="55"/>
      <c r="AK75" s="55"/>
      <c r="AL75" s="55"/>
      <c r="AM75" s="55"/>
      <c r="AN75" s="55"/>
      <c r="AO75" s="113"/>
    </row>
    <row r="76" spans="1:41" ht="24.95" hidden="1" customHeight="1" x14ac:dyDescent="0.2">
      <c r="A76" s="84" t="s">
        <v>153</v>
      </c>
      <c r="B76" s="62"/>
      <c r="C76" s="55"/>
      <c r="D76" s="55"/>
      <c r="E76" s="55"/>
      <c r="F76" s="55"/>
      <c r="G76" s="55"/>
      <c r="H76" s="55"/>
      <c r="I76" s="55"/>
      <c r="J76" s="55"/>
      <c r="K76" s="55"/>
      <c r="L76" s="55"/>
      <c r="M76" s="55"/>
      <c r="N76" s="55"/>
      <c r="O76" s="55"/>
      <c r="P76" s="55"/>
      <c r="Q76" s="55"/>
      <c r="R76" s="55"/>
      <c r="S76" s="55"/>
      <c r="T76" s="55"/>
      <c r="U76" s="55"/>
      <c r="V76" s="55"/>
      <c r="W76" s="55"/>
      <c r="X76" s="55"/>
      <c r="Y76" s="55"/>
      <c r="Z76" s="55"/>
      <c r="AA76" s="55"/>
      <c r="AB76" s="55"/>
      <c r="AC76" s="55"/>
      <c r="AD76" s="55"/>
      <c r="AE76" s="55"/>
      <c r="AF76" s="55"/>
      <c r="AG76" s="55"/>
      <c r="AH76" s="55"/>
      <c r="AI76" s="55"/>
      <c r="AJ76" s="55"/>
      <c r="AK76" s="55"/>
      <c r="AL76" s="55"/>
      <c r="AM76" s="55"/>
      <c r="AN76" s="55"/>
      <c r="AO76" s="113"/>
    </row>
    <row r="77" spans="1:41" ht="24.95" hidden="1" customHeight="1" x14ac:dyDescent="0.2">
      <c r="A77" s="84" t="s">
        <v>154</v>
      </c>
      <c r="B77" s="62"/>
      <c r="C77" s="55"/>
      <c r="D77" s="55"/>
      <c r="E77" s="55"/>
      <c r="F77" s="55"/>
      <c r="G77" s="55"/>
      <c r="H77" s="55"/>
      <c r="I77" s="55"/>
      <c r="J77" s="55"/>
      <c r="K77" s="55"/>
      <c r="L77" s="55"/>
      <c r="M77" s="55"/>
      <c r="N77" s="55"/>
      <c r="O77" s="55"/>
      <c r="P77" s="55"/>
      <c r="Q77" s="55"/>
      <c r="R77" s="55"/>
      <c r="S77" s="55"/>
      <c r="T77" s="55"/>
      <c r="U77" s="55"/>
      <c r="V77" s="55"/>
      <c r="W77" s="55"/>
      <c r="X77" s="55"/>
      <c r="Y77" s="55"/>
      <c r="Z77" s="55"/>
      <c r="AA77" s="55"/>
      <c r="AB77" s="55"/>
      <c r="AC77" s="55"/>
      <c r="AD77" s="55"/>
      <c r="AE77" s="55"/>
      <c r="AF77" s="55"/>
      <c r="AG77" s="55"/>
      <c r="AH77" s="55"/>
      <c r="AI77" s="55"/>
      <c r="AJ77" s="55"/>
      <c r="AK77" s="55"/>
      <c r="AL77" s="55"/>
      <c r="AM77" s="55"/>
      <c r="AN77" s="55"/>
      <c r="AO77" s="113"/>
    </row>
    <row r="78" spans="1:41" ht="24.95" hidden="1" customHeight="1" x14ac:dyDescent="0.2">
      <c r="A78" s="84" t="s">
        <v>155</v>
      </c>
      <c r="B78" s="62"/>
      <c r="C78" s="55"/>
      <c r="D78" s="55"/>
      <c r="E78" s="55"/>
      <c r="F78" s="55"/>
      <c r="G78" s="55"/>
      <c r="H78" s="55"/>
      <c r="I78" s="55"/>
      <c r="J78" s="55"/>
      <c r="K78" s="55"/>
      <c r="L78" s="55"/>
      <c r="M78" s="55"/>
      <c r="N78" s="55"/>
      <c r="O78" s="55"/>
      <c r="P78" s="55"/>
      <c r="Q78" s="55"/>
      <c r="R78" s="55"/>
      <c r="S78" s="55"/>
      <c r="T78" s="55"/>
      <c r="U78" s="55"/>
      <c r="V78" s="55"/>
      <c r="W78" s="55"/>
      <c r="X78" s="55"/>
      <c r="Y78" s="55"/>
      <c r="Z78" s="55"/>
      <c r="AA78" s="55"/>
      <c r="AB78" s="55"/>
      <c r="AC78" s="55"/>
      <c r="AD78" s="55"/>
      <c r="AE78" s="55"/>
      <c r="AF78" s="55"/>
      <c r="AG78" s="55"/>
      <c r="AH78" s="55"/>
      <c r="AI78" s="55"/>
      <c r="AJ78" s="55"/>
      <c r="AK78" s="55"/>
      <c r="AL78" s="55"/>
      <c r="AM78" s="55"/>
      <c r="AN78" s="55"/>
      <c r="AO78" s="113"/>
    </row>
    <row r="79" spans="1:41" ht="24.95" hidden="1" customHeight="1" x14ac:dyDescent="0.2">
      <c r="A79" s="84" t="s">
        <v>129</v>
      </c>
      <c r="B79" s="62"/>
      <c r="C79" s="55"/>
      <c r="D79" s="55"/>
      <c r="E79" s="55"/>
      <c r="F79" s="55"/>
      <c r="G79" s="55"/>
      <c r="H79" s="55"/>
      <c r="I79" s="55"/>
      <c r="J79" s="55"/>
      <c r="K79" s="55"/>
      <c r="L79" s="55"/>
      <c r="M79" s="55"/>
      <c r="N79" s="55"/>
      <c r="O79" s="55"/>
      <c r="P79" s="55"/>
      <c r="Q79" s="55"/>
      <c r="R79" s="55"/>
      <c r="S79" s="55"/>
      <c r="T79" s="55"/>
      <c r="U79" s="55"/>
      <c r="V79" s="55"/>
      <c r="W79" s="55"/>
      <c r="X79" s="55"/>
      <c r="Y79" s="55"/>
      <c r="Z79" s="55"/>
      <c r="AA79" s="55"/>
      <c r="AB79" s="55"/>
      <c r="AC79" s="55"/>
      <c r="AD79" s="55"/>
      <c r="AE79" s="55"/>
      <c r="AF79" s="55"/>
      <c r="AG79" s="55"/>
      <c r="AH79" s="55"/>
      <c r="AI79" s="55"/>
      <c r="AJ79" s="55"/>
      <c r="AK79" s="55"/>
      <c r="AL79" s="55"/>
      <c r="AM79" s="55"/>
      <c r="AN79" s="55"/>
      <c r="AO79" s="113"/>
    </row>
    <row r="80" spans="1:41" s="64" customFormat="1" ht="30" hidden="1" customHeight="1" thickBot="1" x14ac:dyDescent="0.25">
      <c r="A80" s="84" t="s">
        <v>99</v>
      </c>
      <c r="B80" s="63"/>
      <c r="AO80" s="114"/>
    </row>
    <row r="81" spans="1:1" ht="14.25" hidden="1" customHeight="1" x14ac:dyDescent="0.2">
      <c r="A81" s="84" t="s">
        <v>92</v>
      </c>
    </row>
    <row r="82" spans="1:1" ht="14.25" hidden="1" customHeight="1" x14ac:dyDescent="0.2">
      <c r="A82" s="84" t="s">
        <v>156</v>
      </c>
    </row>
    <row r="83" spans="1:1" ht="14.25" hidden="1" customHeight="1" x14ac:dyDescent="0.2">
      <c r="A83" s="84" t="s">
        <v>157</v>
      </c>
    </row>
    <row r="84" spans="1:1" ht="14.25" hidden="1" customHeight="1" x14ac:dyDescent="0.2">
      <c r="A84" s="84" t="s">
        <v>76</v>
      </c>
    </row>
    <row r="85" spans="1:1" ht="14.25" hidden="1" customHeight="1" x14ac:dyDescent="0.2">
      <c r="A85" s="84" t="s">
        <v>87</v>
      </c>
    </row>
    <row r="86" spans="1:1" ht="14.25" hidden="1" customHeight="1" x14ac:dyDescent="0.2">
      <c r="A86" s="84" t="s">
        <v>158</v>
      </c>
    </row>
    <row r="87" spans="1:1" ht="14.25" hidden="1" customHeight="1" x14ac:dyDescent="0.2">
      <c r="A87" s="84" t="s">
        <v>159</v>
      </c>
    </row>
    <row r="88" spans="1:1" ht="14.25" hidden="1" customHeight="1" x14ac:dyDescent="0.2">
      <c r="A88" s="84" t="s">
        <v>160</v>
      </c>
    </row>
    <row r="89" spans="1:1" ht="14.25" hidden="1" customHeight="1" x14ac:dyDescent="0.2">
      <c r="A89" s="84" t="s">
        <v>109</v>
      </c>
    </row>
    <row r="90" spans="1:1" ht="14.25" hidden="1" customHeight="1" x14ac:dyDescent="0.2">
      <c r="A90" s="84" t="s">
        <v>110</v>
      </c>
    </row>
    <row r="91" spans="1:1" ht="14.25" hidden="1" customHeight="1" x14ac:dyDescent="0.2">
      <c r="A91" s="84" t="s">
        <v>89</v>
      </c>
    </row>
    <row r="92" spans="1:1" ht="14.25" hidden="1" customHeight="1" x14ac:dyDescent="0.2">
      <c r="A92" s="84" t="s">
        <v>88</v>
      </c>
    </row>
    <row r="93" spans="1:1" ht="14.25" hidden="1" customHeight="1" x14ac:dyDescent="0.2">
      <c r="A93" s="84" t="s">
        <v>96</v>
      </c>
    </row>
    <row r="94" spans="1:1" ht="14.25" hidden="1" customHeight="1" x14ac:dyDescent="0.2">
      <c r="A94" s="84" t="s">
        <v>121</v>
      </c>
    </row>
    <row r="95" spans="1:1" ht="14.25" hidden="1" customHeight="1" x14ac:dyDescent="0.2">
      <c r="A95" s="84" t="s">
        <v>67</v>
      </c>
    </row>
    <row r="96" spans="1:1" ht="14.25" hidden="1" customHeight="1" x14ac:dyDescent="0.2">
      <c r="A96" s="84" t="s">
        <v>74</v>
      </c>
    </row>
    <row r="97" spans="1:1" ht="14.25" hidden="1" customHeight="1" x14ac:dyDescent="0.2">
      <c r="A97" s="84" t="s">
        <v>70</v>
      </c>
    </row>
    <row r="98" spans="1:1" ht="14.25" hidden="1" customHeight="1" x14ac:dyDescent="0.2">
      <c r="A98" s="84" t="s">
        <v>69</v>
      </c>
    </row>
    <row r="99" spans="1:1" ht="14.25" hidden="1" customHeight="1" x14ac:dyDescent="0.2">
      <c r="A99" s="84" t="s">
        <v>71</v>
      </c>
    </row>
    <row r="100" spans="1:1" ht="14.25" hidden="1" customHeight="1" x14ac:dyDescent="0.2">
      <c r="A100" s="84" t="s">
        <v>73</v>
      </c>
    </row>
    <row r="101" spans="1:1" ht="14.25" hidden="1" customHeight="1" x14ac:dyDescent="0.2">
      <c r="A101" s="84" t="s">
        <v>75</v>
      </c>
    </row>
    <row r="102" spans="1:1" ht="14.25" hidden="1" customHeight="1" x14ac:dyDescent="0.2">
      <c r="A102" s="84" t="s">
        <v>72</v>
      </c>
    </row>
    <row r="103" spans="1:1" ht="14.25" hidden="1" customHeight="1" x14ac:dyDescent="0.2">
      <c r="A103" s="84" t="s">
        <v>68</v>
      </c>
    </row>
    <row r="104" spans="1:1" ht="14.25" hidden="1" customHeight="1" x14ac:dyDescent="0.2">
      <c r="A104" s="84" t="s">
        <v>161</v>
      </c>
    </row>
  </sheetData>
  <mergeCells count="78">
    <mergeCell ref="H13:J14"/>
    <mergeCell ref="D13:E14"/>
    <mergeCell ref="AJ15:AL15"/>
    <mergeCell ref="AJ29:AL29"/>
    <mergeCell ref="AF2:AF57"/>
    <mergeCell ref="P17:P20"/>
    <mergeCell ref="P21:P24"/>
    <mergeCell ref="P25:P28"/>
    <mergeCell ref="P29:P32"/>
    <mergeCell ref="U11:Y13"/>
    <mergeCell ref="W15:X15"/>
    <mergeCell ref="V17:V20"/>
    <mergeCell ref="V21:V24"/>
    <mergeCell ref="M11:S13"/>
    <mergeCell ref="Q15:R15"/>
    <mergeCell ref="C2:K6"/>
    <mergeCell ref="D9:E9"/>
    <mergeCell ref="H9:J9"/>
    <mergeCell ref="C8:K8"/>
    <mergeCell ref="I7:J7"/>
    <mergeCell ref="D7:H7"/>
    <mergeCell ref="M5:AE7"/>
    <mergeCell ref="AA11:AE13"/>
    <mergeCell ref="AC15:AD15"/>
    <mergeCell ref="AB17:AB20"/>
    <mergeCell ref="M33:S33"/>
    <mergeCell ref="U25:Y25"/>
    <mergeCell ref="AA21:AE21"/>
    <mergeCell ref="AA14:AE14"/>
    <mergeCell ref="U14:Y14"/>
    <mergeCell ref="M55:S55"/>
    <mergeCell ref="M36:AE38"/>
    <mergeCell ref="U41:Y43"/>
    <mergeCell ref="W45:X45"/>
    <mergeCell ref="V47:V50"/>
    <mergeCell ref="V51:V54"/>
    <mergeCell ref="AA41:AE43"/>
    <mergeCell ref="AC45:AD45"/>
    <mergeCell ref="M44:S44"/>
    <mergeCell ref="P47:P50"/>
    <mergeCell ref="P51:P54"/>
    <mergeCell ref="M41:S43"/>
    <mergeCell ref="U45:U54"/>
    <mergeCell ref="AB47:AB49"/>
    <mergeCell ref="AB50:AB52"/>
    <mergeCell ref="AA44:AE44"/>
    <mergeCell ref="M45:M54"/>
    <mergeCell ref="AO1:AO80"/>
    <mergeCell ref="C58:AN58"/>
    <mergeCell ref="C1:AN1"/>
    <mergeCell ref="U15:U24"/>
    <mergeCell ref="S15:S32"/>
    <mergeCell ref="M15:M32"/>
    <mergeCell ref="AE45:AE52"/>
    <mergeCell ref="AA45:AA52"/>
    <mergeCell ref="Y45:Y54"/>
    <mergeCell ref="L2:L57"/>
    <mergeCell ref="AH11:AM13"/>
    <mergeCell ref="AI17:AI20"/>
    <mergeCell ref="AH21:AM21"/>
    <mergeCell ref="AH25:AM27"/>
    <mergeCell ref="U44:Y44"/>
    <mergeCell ref="AG5:AN7"/>
    <mergeCell ref="B1:B58"/>
    <mergeCell ref="AH29:AH34"/>
    <mergeCell ref="AM29:AM34"/>
    <mergeCell ref="AI31:AI34"/>
    <mergeCell ref="AH35:AM35"/>
    <mergeCell ref="AH28:AM28"/>
    <mergeCell ref="AH14:AM14"/>
    <mergeCell ref="AE15:AE20"/>
    <mergeCell ref="AA15:AA20"/>
    <mergeCell ref="Y15:Y24"/>
    <mergeCell ref="AM15:AM20"/>
    <mergeCell ref="AH15:AH20"/>
    <mergeCell ref="U55:Y55"/>
    <mergeCell ref="AA53:AE53"/>
    <mergeCell ref="S45:S54"/>
  </mergeCells>
  <phoneticPr fontId="2" type="noConversion"/>
  <conditionalFormatting sqref="Q47">
    <cfRule type="expression" dxfId="47" priority="69">
      <formula>ISBLANK($R$19)</formula>
    </cfRule>
  </conditionalFormatting>
  <conditionalFormatting sqref="Q48">
    <cfRule type="expression" dxfId="46" priority="68">
      <formula>ISBLANK($R$27)</formula>
    </cfRule>
  </conditionalFormatting>
  <conditionalFormatting sqref="Q49">
    <cfRule type="expression" dxfId="45" priority="67">
      <formula>ISBLANK($R$24)</formula>
    </cfRule>
  </conditionalFormatting>
  <conditionalFormatting sqref="Q50">
    <cfRule type="expression" dxfId="44" priority="66">
      <formula>ISBLANK($R$32)</formula>
    </cfRule>
  </conditionalFormatting>
  <conditionalFormatting sqref="Q51">
    <cfRule type="expression" dxfId="43" priority="65">
      <formula>ISBLANK($R$23)</formula>
    </cfRule>
  </conditionalFormatting>
  <conditionalFormatting sqref="Q52">
    <cfRule type="expression" dxfId="42" priority="64">
      <formula>ISBLANK($R$31)</formula>
    </cfRule>
  </conditionalFormatting>
  <conditionalFormatting sqref="Q53">
    <cfRule type="expression" dxfId="41" priority="63">
      <formula>ISBLANK($R$20)</formula>
    </cfRule>
  </conditionalFormatting>
  <conditionalFormatting sqref="Q54">
    <cfRule type="expression" dxfId="40" priority="62">
      <formula>ISBLANK($R$28)</formula>
    </cfRule>
  </conditionalFormatting>
  <conditionalFormatting sqref="W17">
    <cfRule type="expression" dxfId="39" priority="97">
      <formula>ISBLANK($R$17)</formula>
    </cfRule>
  </conditionalFormatting>
  <conditionalFormatting sqref="W18">
    <cfRule type="expression" dxfId="38" priority="90">
      <formula>ISBLANK($R$25)</formula>
    </cfRule>
  </conditionalFormatting>
  <conditionalFormatting sqref="W19">
    <cfRule type="expression" dxfId="37" priority="92">
      <formula>ISBLANK($R$22)</formula>
    </cfRule>
  </conditionalFormatting>
  <conditionalFormatting sqref="W20">
    <cfRule type="expression" dxfId="36" priority="91">
      <formula>ISBLANK($R$30)</formula>
    </cfRule>
  </conditionalFormatting>
  <conditionalFormatting sqref="W21">
    <cfRule type="expression" dxfId="35" priority="18">
      <formula>ISBLANK($R$21)</formula>
    </cfRule>
  </conditionalFormatting>
  <conditionalFormatting sqref="W22">
    <cfRule type="expression" dxfId="34" priority="17">
      <formula>ISBLANK($R$29)</formula>
    </cfRule>
  </conditionalFormatting>
  <conditionalFormatting sqref="W23">
    <cfRule type="expression" dxfId="33" priority="87">
      <formula>ISBLANK($R$18)</formula>
    </cfRule>
  </conditionalFormatting>
  <conditionalFormatting sqref="W24">
    <cfRule type="expression" dxfId="32" priority="86">
      <formula>ISBLANK($R$26)</formula>
    </cfRule>
  </conditionalFormatting>
  <conditionalFormatting sqref="W29">
    <cfRule type="expression" dxfId="31" priority="45">
      <formula>ISBLANK($X$20)</formula>
    </cfRule>
  </conditionalFormatting>
  <conditionalFormatting sqref="W30">
    <cfRule type="expression" dxfId="30" priority="48">
      <formula>ISBLANK($X$23)</formula>
    </cfRule>
  </conditionalFormatting>
  <conditionalFormatting sqref="W31">
    <cfRule type="expression" dxfId="29" priority="47">
      <formula>ISBLANK($R$48)</formula>
    </cfRule>
  </conditionalFormatting>
  <conditionalFormatting sqref="W32">
    <cfRule type="expression" dxfId="28" priority="46">
      <formula>ISBLANK($R$51)</formula>
    </cfRule>
  </conditionalFormatting>
  <conditionalFormatting sqref="W47">
    <cfRule type="expression" dxfId="27" priority="7">
      <formula>ISBLANK($R$47)</formula>
    </cfRule>
  </conditionalFormatting>
  <conditionalFormatting sqref="W48">
    <cfRule type="expression" dxfId="26" priority="6">
      <formula>ISBLANK($R$52)</formula>
    </cfRule>
  </conditionalFormatting>
  <conditionalFormatting sqref="W49">
    <cfRule type="expression" dxfId="25" priority="9">
      <formula>ISBLANK($X$19)</formula>
    </cfRule>
  </conditionalFormatting>
  <conditionalFormatting sqref="W50">
    <cfRule type="expression" dxfId="24" priority="8">
      <formula>ISBLANK($X$24)</formula>
    </cfRule>
  </conditionalFormatting>
  <conditionalFormatting sqref="W51">
    <cfRule type="expression" dxfId="23" priority="5">
      <formula>ISBLANK($R$51)</formula>
    </cfRule>
  </conditionalFormatting>
  <conditionalFormatting sqref="W52">
    <cfRule type="expression" dxfId="22" priority="4">
      <formula>ISBLANK($R$48)</formula>
    </cfRule>
  </conditionalFormatting>
  <conditionalFormatting sqref="W53">
    <cfRule type="expression" dxfId="21" priority="3">
      <formula>ISBLANK($X$23)</formula>
    </cfRule>
  </conditionalFormatting>
  <conditionalFormatting sqref="W54">
    <cfRule type="expression" dxfId="20" priority="2">
      <formula>ISBLANK($X$20)</formula>
    </cfRule>
  </conditionalFormatting>
  <conditionalFormatting sqref="AC17">
    <cfRule type="expression" dxfId="19" priority="85">
      <formula>ISBLANK($X$17)</formula>
    </cfRule>
  </conditionalFormatting>
  <conditionalFormatting sqref="AC18">
    <cfRule type="expression" dxfId="18" priority="83">
      <formula>ISBLANK($X$21)</formula>
    </cfRule>
  </conditionalFormatting>
  <conditionalFormatting sqref="AC19">
    <cfRule type="expression" dxfId="17" priority="15">
      <formula>ISBLANK($X$18)</formula>
    </cfRule>
  </conditionalFormatting>
  <conditionalFormatting sqref="AC20">
    <cfRule type="expression" dxfId="16" priority="82">
      <formula>ISBLANK($X$22)</formula>
    </cfRule>
  </conditionalFormatting>
  <conditionalFormatting sqref="AC24">
    <cfRule type="expression" dxfId="15" priority="16">
      <formula>ISBLANK($X$18)</formula>
    </cfRule>
  </conditionalFormatting>
  <conditionalFormatting sqref="AC47">
    <cfRule type="expression" dxfId="14" priority="44">
      <formula>ISBLANK($AD$19)</formula>
    </cfRule>
  </conditionalFormatting>
  <conditionalFormatting sqref="AC48">
    <cfRule type="expression" dxfId="13" priority="43">
      <formula>ISBLANK($X$47)</formula>
    </cfRule>
  </conditionalFormatting>
  <conditionalFormatting sqref="AC49">
    <cfRule type="expression" dxfId="12" priority="41">
      <formula>ISBLANK($X$52)</formula>
    </cfRule>
  </conditionalFormatting>
  <conditionalFormatting sqref="AC50">
    <cfRule type="expression" dxfId="11" priority="36">
      <formula>ISBLANK($AD$20)</formula>
    </cfRule>
  </conditionalFormatting>
  <conditionalFormatting sqref="AC51">
    <cfRule type="expression" dxfId="10" priority="1">
      <formula>ISBLANK($X$51)</formula>
    </cfRule>
  </conditionalFormatting>
  <conditionalFormatting sqref="AC51:AC52">
    <cfRule type="expression" dxfId="9" priority="35">
      <formula>ISBLANK($X$48)</formula>
    </cfRule>
  </conditionalFormatting>
  <conditionalFormatting sqref="AJ17">
    <cfRule type="expression" dxfId="8" priority="33">
      <formula>ISBLANK($AD$17)</formula>
    </cfRule>
  </conditionalFormatting>
  <conditionalFormatting sqref="AJ18">
    <cfRule type="expression" dxfId="7" priority="25">
      <formula>ISBLANK($AD$18)</formula>
    </cfRule>
  </conditionalFormatting>
  <conditionalFormatting sqref="AJ19">
    <cfRule type="expression" dxfId="6" priority="24">
      <formula>ISBLANK($AD$47)</formula>
    </cfRule>
  </conditionalFormatting>
  <conditionalFormatting sqref="AJ20">
    <cfRule type="expression" dxfId="5" priority="23">
      <formula>ISBLANK($AD$50)</formula>
    </cfRule>
  </conditionalFormatting>
  <conditionalFormatting sqref="AJ31">
    <cfRule type="expression" dxfId="4" priority="22">
      <formula>ISBLANK($AD$48)</formula>
    </cfRule>
  </conditionalFormatting>
  <conditionalFormatting sqref="AJ32">
    <cfRule type="expression" dxfId="3" priority="13">
      <formula>ISBLANK($AD$51)</formula>
    </cfRule>
  </conditionalFormatting>
  <conditionalFormatting sqref="AJ33">
    <cfRule type="expression" dxfId="2" priority="21">
      <formula>ISBLANK($AD$49)</formula>
    </cfRule>
  </conditionalFormatting>
  <conditionalFormatting sqref="AJ34">
    <cfRule type="expression" dxfId="1" priority="19">
      <formula>ISBLANK($AD$52)</formula>
    </cfRule>
  </conditionalFormatting>
  <conditionalFormatting sqref="AJ38">
    <cfRule type="expression" dxfId="0" priority="14">
      <formula>ISBLANK($AD$51)</formula>
    </cfRule>
  </conditionalFormatting>
  <dataValidations count="22">
    <dataValidation type="whole" showInputMessage="1" showErrorMessage="1" errorTitle="Valeur rentrée" error="Valeur entre 0 et 2 uniquement" sqref="G18:G49 H31:H42 F57:F79 F32:F41 F9:F16" xr:uid="{4A302F6D-6855-4F98-88B3-AE0D66E2021D}">
      <formula1>0</formula1>
      <formula2>2</formula2>
    </dataValidation>
    <dataValidation type="list" allowBlank="1" showInputMessage="1" showErrorMessage="1" errorTitle="Valeur incorrecte" error="Valeurs autorisés :_x000a_    50cc_x000a_    100cc_x000a_    150cc_x000a_    Miroir_x000a_    200cc" sqref="D9" xr:uid="{F8DFF2AD-1631-40C0-9557-2DF46950CD2A}">
      <formula1>"50cc,100cc,150cc,Miroir,200cc"</formula1>
    </dataValidation>
    <dataValidation type="list" allowBlank="1" showInputMessage="1" showErrorMessage="1" errorTitle="Valeur incorrecte" error="Valeurs autorisés :_x000a_    Facile_x000a_    Normal_x000a_    Difficile" sqref="H9" xr:uid="{19AC2695-B0F8-43D2-AC28-233060FB42F1}">
      <formula1>"Facile,Normal,Difficile"</formula1>
    </dataValidation>
    <dataValidation type="list" allowBlank="1" showInputMessage="1" showErrorMessage="1" errorTitle="Valeur incorrecte" error="Valeurs autorisées :_x000a_    4_x000a_    6_x000a_    8_x000a_    12_x000a_    16_x000a_    24_x000a_    48" sqref="P15 V15 AB15 P45 V45 AB45 AI15 AI29" xr:uid="{79285C18-4B82-4B6A-BDA5-70BFC684EB6F}">
      <formula1>"4,6,8,12,16,24,48"</formula1>
    </dataValidation>
    <dataValidation type="list" allowBlank="1" showInputMessage="1" showErrorMessage="1" sqref="R17:R20" xr:uid="{353406DA-03E0-45A5-A27C-0364CBBA46A0}">
      <formula1>$Q$17:$Q$20</formula1>
    </dataValidation>
    <dataValidation type="list" allowBlank="1" showInputMessage="1" showErrorMessage="1" sqref="R21:R24 AD22:AD24" xr:uid="{113660A4-5E44-48F7-BA2B-3EDDA5F596FC}">
      <formula1>$Q$21:$Q$24</formula1>
    </dataValidation>
    <dataValidation type="list" allowBlank="1" showInputMessage="1" showErrorMessage="1" sqref="R25:R28 X26:X28" xr:uid="{9AF45A9A-4373-4D16-A6FF-F435E632E935}">
      <formula1>$Q$25:$Q$28</formula1>
    </dataValidation>
    <dataValidation type="list" allowBlank="1" showInputMessage="1" showErrorMessage="1" sqref="X29:X32 R29:R32" xr:uid="{B1EBD471-A081-4C14-9475-9B6665093C97}">
      <formula1>$Q$29:$Q$32</formula1>
    </dataValidation>
    <dataValidation type="list" allowBlank="1" showInputMessage="1" showErrorMessage="1" sqref="X17:X20" xr:uid="{401D01AA-8325-4809-80E6-3448DC4CFEAA}">
      <formula1>$W$17:$W$20</formula1>
    </dataValidation>
    <dataValidation type="list" allowBlank="1" showInputMessage="1" showErrorMessage="1" sqref="X21:X24" xr:uid="{CCF9C8B8-D114-46F7-AFB7-405BEA8EAC79}">
      <formula1>$W$21:$W$24</formula1>
    </dataValidation>
    <dataValidation type="list" allowBlank="1" showInputMessage="1" showErrorMessage="1" sqref="AD17:AD20" xr:uid="{BB13C608-9D23-4977-8B27-7674F5BB75E7}">
      <formula1>$AC$17:$AC$20</formula1>
    </dataValidation>
    <dataValidation type="list" allowBlank="1" showInputMessage="1" showErrorMessage="1" sqref="R47:R50" xr:uid="{00D7A44C-B7EE-4AAD-978E-18DFEE660C65}">
      <formula1>$Q$47:$Q$50</formula1>
    </dataValidation>
    <dataValidation type="list" allowBlank="1" showInputMessage="1" showErrorMessage="1" sqref="R51:R54" xr:uid="{5FC57F36-72A8-43BF-B9B5-8F4EB6A37127}">
      <formula1>$Q$51:$Q$54</formula1>
    </dataValidation>
    <dataValidation type="list" allowBlank="1" showInputMessage="1" showErrorMessage="1" sqref="X47:X50" xr:uid="{BB57D131-0B25-4D6E-9562-03FF7A994281}">
      <formula1>$W$47:$W$50</formula1>
    </dataValidation>
    <dataValidation type="list" allowBlank="1" showInputMessage="1" showErrorMessage="1" sqref="AD47:AD49" xr:uid="{FB6769A8-DB29-49AA-9079-9C1E89370156}">
      <formula1>$AC$47:$AC$49</formula1>
    </dataValidation>
    <dataValidation type="list" allowBlank="1" showInputMessage="1" showErrorMessage="1" sqref="AK17:AK20" xr:uid="{B4D2D38B-5C3E-4C7A-8B4D-14695A9F97B9}">
      <formula1>$AJ$17:$AJ$20</formula1>
    </dataValidation>
    <dataValidation type="list" allowBlank="1" showInputMessage="1" showErrorMessage="1" sqref="AK31:AK34" xr:uid="{15DF635D-896A-411B-BF47-F814791A45D7}">
      <formula1>$AJ$31:$AJ$34</formula1>
    </dataValidation>
    <dataValidation type="decimal" allowBlank="1" showInputMessage="1" showErrorMessage="1" sqref="AL17:AL20 AL31:AL34" xr:uid="{7F8C02D8-CEA6-446B-A3FC-68FC2F5CD345}">
      <formula1>0</formula1>
      <formula2>720</formula2>
    </dataValidation>
    <dataValidation type="list" showInputMessage="1" showErrorMessage="1" errorTitle="Valeur rentrée" error="Valeur entre 0 et 2 uniquement" sqref="H15:H30" xr:uid="{98A004DD-1316-49B7-B48F-28A4068D9311}">
      <formula1>$A$1:$A$104</formula1>
    </dataValidation>
    <dataValidation type="decimal" allowBlank="1" showInputMessage="1" showErrorMessage="1" sqref="E15:E30" xr:uid="{7306D21C-88DF-4620-989A-B80126ACF36D}">
      <formula1>0</formula1>
      <formula2>2</formula2>
    </dataValidation>
    <dataValidation type="list" allowBlank="1" showInputMessage="1" showErrorMessage="1" sqref="X51:X54" xr:uid="{88A72882-DE46-4631-94C0-8FF38604493E}">
      <formula1>$W$51:$W$54</formula1>
    </dataValidation>
    <dataValidation type="list" allowBlank="1" showInputMessage="1" showErrorMessage="1" sqref="AD50:AD52" xr:uid="{E3106E7B-0CCA-4233-B5D0-9461C3E72676}">
      <formula1>$AC$50:$AC$52</formula1>
    </dataValidation>
  </dataValidations>
  <pageMargins left="0.7" right="0.7" top="0.75" bottom="0.75" header="0.3" footer="0.3"/>
  <pageSetup paperSize="9" scale="16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98" id="{E6DFC4A9-1971-448F-AD1A-E8F35EF5B4EF}">
            <x14:iconSet iconSet="3Symbols" showValue="0" custom="1">
              <x14:cfvo type="percent">
                <xm:f>0</xm:f>
              </x14:cfvo>
              <x14:cfvo type="num">
                <xm:f>1</xm:f>
              </x14:cfvo>
              <x14:cfvo type="num">
                <xm:f>2</xm:f>
              </x14:cfvo>
              <x14:cfIcon iconSet="3Symbols2" iconId="0"/>
              <x14:cfIcon iconSet="3Symbols2" iconId="2"/>
              <x14:cfIcon iconSet="3Symbols2" iconId="1"/>
            </x14:iconSet>
          </x14:cfRule>
          <xm:sqref>E15:E30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Solo 16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Mr GoGu</dc:creator>
  <cp:lastModifiedBy>Mr GoGu</cp:lastModifiedBy>
  <dcterms:created xsi:type="dcterms:W3CDTF">2024-09-13T19:34:25Z</dcterms:created>
  <dcterms:modified xsi:type="dcterms:W3CDTF">2025-10-16T12:24:49Z</dcterms:modified>
</cp:coreProperties>
</file>