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r\GitHub\Asso\AssetsGenerator\resources\template\"/>
    </mc:Choice>
  </mc:AlternateContent>
  <xr:revisionPtr revIDLastSave="0" documentId="13_ncr:1_{D431AF70-9F28-4DB4-A7EB-EA7D3E0D7E9B}" xr6:coauthVersionLast="47" xr6:coauthVersionMax="47" xr10:uidLastSave="{00000000-0000-0000-0000-000000000000}"/>
  <bookViews>
    <workbookView xWindow="43110" yWindow="8565" windowWidth="21600" windowHeight="11835" xr2:uid="{2F0D60C5-63AA-4767-A59B-0FBF4FA7B0CE}"/>
  </bookViews>
  <sheets>
    <sheet name="Solo 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I24" i="1"/>
  <c r="I23" i="1"/>
  <c r="I27" i="1"/>
  <c r="I26" i="1"/>
  <c r="I25" i="1"/>
  <c r="I30" i="1"/>
  <c r="I29" i="1"/>
  <c r="I28" i="1"/>
  <c r="I34" i="1"/>
  <c r="I33" i="1"/>
  <c r="I32" i="1"/>
  <c r="I31" i="1"/>
  <c r="I37" i="1"/>
  <c r="I36" i="1"/>
  <c r="I35" i="1"/>
  <c r="I42" i="1"/>
  <c r="I41" i="1"/>
  <c r="I40" i="1"/>
  <c r="I39" i="1"/>
  <c r="I46" i="1"/>
  <c r="I44" i="1"/>
  <c r="I43" i="1"/>
  <c r="AV20" i="1"/>
  <c r="AV19" i="1"/>
  <c r="AV34" i="1"/>
  <c r="AV33" i="1"/>
  <c r="AV31" i="1"/>
  <c r="AV32" i="1"/>
  <c r="Q78" i="1"/>
  <c r="Q76" i="1"/>
  <c r="Q75" i="1"/>
  <c r="Q74" i="1"/>
  <c r="Q73" i="1"/>
  <c r="Q72" i="1"/>
  <c r="Q70" i="1"/>
  <c r="Q68" i="1"/>
  <c r="Q66" i="1"/>
  <c r="Q64" i="1"/>
  <c r="AO65" i="1"/>
  <c r="AO64" i="1"/>
  <c r="W78" i="1"/>
  <c r="W74" i="1"/>
  <c r="W73" i="1"/>
  <c r="W72" i="1"/>
  <c r="W71" i="1"/>
  <c r="W70" i="1"/>
  <c r="W69" i="1"/>
  <c r="W68" i="1"/>
  <c r="W67" i="1"/>
  <c r="W66" i="1"/>
  <c r="W64" i="1"/>
  <c r="W63" i="1"/>
  <c r="W75" i="1"/>
  <c r="AO66" i="1"/>
  <c r="AO63" i="1"/>
  <c r="AI69" i="1"/>
  <c r="AI68" i="1"/>
  <c r="AI67" i="1"/>
  <c r="AI66" i="1"/>
  <c r="AI65" i="1"/>
  <c r="AI64" i="1"/>
  <c r="AI63" i="1"/>
  <c r="AC74" i="1"/>
  <c r="AC73" i="1"/>
  <c r="AC72" i="1"/>
  <c r="AC70" i="1"/>
  <c r="AC69" i="1"/>
  <c r="AC67" i="1"/>
  <c r="AC64" i="1"/>
  <c r="AC71" i="1"/>
  <c r="AC68" i="1"/>
  <c r="AC66" i="1"/>
  <c r="AC65" i="1"/>
  <c r="AC63" i="1"/>
  <c r="W77" i="1"/>
  <c r="W76" i="1"/>
  <c r="W65" i="1"/>
  <c r="AI20" i="1" l="1"/>
  <c r="AI18" i="1"/>
  <c r="AI19" i="1"/>
  <c r="AI17" i="1"/>
  <c r="AC24" i="1"/>
  <c r="AC23" i="1"/>
  <c r="AC22" i="1"/>
  <c r="AC21" i="1"/>
  <c r="AC20" i="1"/>
  <c r="AC19" i="1"/>
  <c r="AC18" i="1"/>
  <c r="AC17" i="1"/>
  <c r="W32" i="1"/>
  <c r="W30" i="1"/>
  <c r="W29" i="1"/>
  <c r="W28" i="1"/>
  <c r="W27" i="1"/>
  <c r="W26" i="1"/>
  <c r="W24" i="1"/>
  <c r="W22" i="1"/>
  <c r="W20" i="1"/>
  <c r="W18" i="1"/>
  <c r="AI70" i="1" l="1"/>
  <c r="Q77" i="1"/>
  <c r="W31" i="1"/>
  <c r="N41" i="1" l="1"/>
  <c r="N42" i="1"/>
  <c r="N43" i="1"/>
  <c r="N44" i="1"/>
  <c r="N45" i="1"/>
  <c r="N46" i="1"/>
  <c r="N47" i="1"/>
  <c r="N48" i="1"/>
  <c r="I45" i="1"/>
  <c r="Q69" i="1"/>
  <c r="Q71" i="1"/>
  <c r="W23" i="1"/>
  <c r="W25" i="1"/>
  <c r="W21" i="1"/>
  <c r="W19" i="1"/>
  <c r="W17" i="1"/>
  <c r="N40" i="1"/>
  <c r="N33" i="1"/>
  <c r="N34" i="1"/>
  <c r="N35" i="1"/>
  <c r="N36" i="1"/>
  <c r="N37" i="1"/>
  <c r="N38" i="1"/>
  <c r="N39" i="1"/>
  <c r="AV18" i="1"/>
  <c r="AV17" i="1"/>
  <c r="Q67" i="1"/>
  <c r="Q65" i="1"/>
  <c r="Q63" i="1"/>
  <c r="I15" i="1"/>
  <c r="I16" i="1"/>
  <c r="I17" i="1"/>
  <c r="I18" i="1"/>
  <c r="I19" i="1"/>
  <c r="I20" i="1"/>
  <c r="I21" i="1"/>
  <c r="I22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17" i="1"/>
  <c r="O16" i="1"/>
  <c r="O18" i="1" s="1"/>
  <c r="O48" i="1" l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29" i="1"/>
  <c r="O28" i="1"/>
  <c r="O27" i="1"/>
  <c r="O24" i="1"/>
  <c r="O17" i="1"/>
  <c r="O23" i="1"/>
  <c r="O22" i="1"/>
  <c r="O21" i="1"/>
  <c r="O25" i="1"/>
  <c r="O32" i="1"/>
  <c r="O20" i="1"/>
  <c r="O26" i="1"/>
  <c r="O31" i="1"/>
  <c r="O19" i="1"/>
  <c r="O30" i="1"/>
  <c r="Q21" i="1" l="1" a="1"/>
  <c r="Q21" i="1" s="1"/>
  <c r="Q29" i="1" a="1"/>
  <c r="Q29" i="1" s="1"/>
  <c r="Q47" i="1" a="1"/>
  <c r="Q47" i="1" s="1"/>
  <c r="Q33" i="1" a="1"/>
  <c r="Q33" i="1" s="1"/>
  <c r="Q44" i="1" a="1"/>
  <c r="Q44" i="1" s="1"/>
  <c r="Q41" i="1" a="1"/>
  <c r="Q41" i="1" s="1"/>
  <c r="Q24" i="1" a="1"/>
  <c r="Q24" i="1" s="1"/>
  <c r="Q40" i="1" a="1"/>
  <c r="Q40" i="1" s="1"/>
  <c r="Q28" i="1" a="1"/>
  <c r="Q28" i="1" s="1"/>
  <c r="Q43" i="1" a="1"/>
  <c r="Q43" i="1" s="1"/>
  <c r="Q39" i="1" a="1"/>
  <c r="Q39" i="1" s="1"/>
  <c r="Q20" i="1" a="1"/>
  <c r="Q20" i="1" s="1"/>
  <c r="Q19" i="1" a="1"/>
  <c r="Q19" i="1" s="1"/>
  <c r="Q38" i="1" a="1"/>
  <c r="Q38" i="1" s="1"/>
  <c r="Q31" i="1" a="1"/>
  <c r="Q31" i="1" s="1"/>
  <c r="Q26" i="1" a="1"/>
  <c r="Q26" i="1" s="1"/>
  <c r="Q32" i="1" a="1"/>
  <c r="Q32" i="1" s="1"/>
  <c r="Q35" i="1" a="1"/>
  <c r="Q35" i="1" s="1"/>
  <c r="Q36" i="1" a="1"/>
  <c r="Q36" i="1" s="1"/>
  <c r="Q34" i="1" a="1"/>
  <c r="Q34" i="1" s="1"/>
  <c r="Q42" i="1" a="1"/>
  <c r="Q42" i="1" s="1"/>
  <c r="Q25" i="1" a="1"/>
  <c r="Q25" i="1" s="1"/>
  <c r="Q27" i="1" a="1"/>
  <c r="Q27" i="1" s="1"/>
  <c r="Q46" i="1" a="1"/>
  <c r="Q46" i="1" s="1"/>
  <c r="Q22" i="1" a="1"/>
  <c r="Q22" i="1" s="1"/>
  <c r="Q30" i="1" a="1"/>
  <c r="Q30" i="1" s="1"/>
  <c r="Q37" i="1" a="1"/>
  <c r="Q37" i="1" s="1"/>
  <c r="Q23" i="1" a="1"/>
  <c r="Q23" i="1" s="1"/>
  <c r="Q45" i="1" a="1"/>
  <c r="Q45" i="1" s="1"/>
  <c r="Q18" i="1" a="1"/>
  <c r="Q18" i="1" s="1"/>
  <c r="Q48" i="1" a="1"/>
  <c r="Q48" i="1" s="1"/>
  <c r="Q17" i="1" a="1"/>
  <c r="Q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<sst xmlns="http://schemas.openxmlformats.org/spreadsheetml/2006/main" count="296" uniqueCount="205">
  <si>
    <t>RIFIFI sur le circuit #00</t>
  </si>
  <si>
    <t>Participants</t>
  </si>
  <si>
    <t>Liste Participants</t>
  </si>
  <si>
    <t>Participant #01</t>
  </si>
  <si>
    <t>Participant #02</t>
  </si>
  <si>
    <t>Participant #03</t>
  </si>
  <si>
    <t>Participant #04</t>
  </si>
  <si>
    <t>Participant #05</t>
  </si>
  <si>
    <t>Participant #06</t>
  </si>
  <si>
    <t>Participant #07</t>
  </si>
  <si>
    <t>Participant #08</t>
  </si>
  <si>
    <t>Participant #09</t>
  </si>
  <si>
    <t>Participant #10</t>
  </si>
  <si>
    <t>Participant #11</t>
  </si>
  <si>
    <t>Participant #12</t>
  </si>
  <si>
    <t>Participant #13</t>
  </si>
  <si>
    <t>Participant #14</t>
  </si>
  <si>
    <t>Participant #15</t>
  </si>
  <si>
    <t>Participant #16</t>
  </si>
  <si>
    <t>1er</t>
  </si>
  <si>
    <t>2e</t>
  </si>
  <si>
    <t>3e</t>
  </si>
  <si>
    <t>4e</t>
  </si>
  <si>
    <t>5e</t>
  </si>
  <si>
    <t>6e</t>
  </si>
  <si>
    <t>7e</t>
  </si>
  <si>
    <t>8e</t>
  </si>
  <si>
    <t>9e</t>
  </si>
  <si>
    <t>11e</t>
  </si>
  <si>
    <t>Courses</t>
  </si>
  <si>
    <t>ID</t>
  </si>
  <si>
    <t>Classement</t>
  </si>
  <si>
    <t>A</t>
  </si>
  <si>
    <t>B</t>
  </si>
  <si>
    <t>C</t>
  </si>
  <si>
    <t>D</t>
  </si>
  <si>
    <t>Winner Round #01</t>
  </si>
  <si>
    <t>E</t>
  </si>
  <si>
    <t>F</t>
  </si>
  <si>
    <t>Winner Finale</t>
  </si>
  <si>
    <t>WINNER BRACKET</t>
  </si>
  <si>
    <t>LOOSER BRACKET</t>
  </si>
  <si>
    <t>Looser Round #01</t>
  </si>
  <si>
    <t>Winner Round #02</t>
  </si>
  <si>
    <t>G</t>
  </si>
  <si>
    <t>H</t>
  </si>
  <si>
    <t>Looser Round #02</t>
  </si>
  <si>
    <t>J</t>
  </si>
  <si>
    <t>I</t>
  </si>
  <si>
    <t>Looser Finale</t>
  </si>
  <si>
    <t>WF</t>
  </si>
  <si>
    <t>Petite Finale</t>
  </si>
  <si>
    <t>Grande Finale</t>
  </si>
  <si>
    <t>GF</t>
  </si>
  <si>
    <t>PF</t>
  </si>
  <si>
    <t>K</t>
  </si>
  <si>
    <t>L</t>
  </si>
  <si>
    <t>Points</t>
  </si>
  <si>
    <t>Mario</t>
  </si>
  <si>
    <t>Luigi</t>
  </si>
  <si>
    <t>Peach</t>
  </si>
  <si>
    <t>Daisy</t>
  </si>
  <si>
    <t>Harmonie</t>
  </si>
  <si>
    <t>Yoshi</t>
  </si>
  <si>
    <t>Yoshi Rouge</t>
  </si>
  <si>
    <t>Yoshi Bleu Marine</t>
  </si>
  <si>
    <t>Yoshi Bleu Ciel</t>
  </si>
  <si>
    <t>Yoshi Jaune</t>
  </si>
  <si>
    <t>Yoshi Rose</t>
  </si>
  <si>
    <t>Yoshi Noir</t>
  </si>
  <si>
    <t>Yoshi Blanc</t>
  </si>
  <si>
    <t>Yoshi Orange</t>
  </si>
  <si>
    <t>Toad</t>
  </si>
  <si>
    <t>Koopa</t>
  </si>
  <si>
    <t>Maskass</t>
  </si>
  <si>
    <t>Lakitu</t>
  </si>
  <si>
    <t>Toadette</t>
  </si>
  <si>
    <t>Wario</t>
  </si>
  <si>
    <t>Waluigi</t>
  </si>
  <si>
    <t>Bowser</t>
  </si>
  <si>
    <t>Skelerex</t>
  </si>
  <si>
    <t>Lemmy</t>
  </si>
  <si>
    <t>Larry</t>
  </si>
  <si>
    <t>Wendy</t>
  </si>
  <si>
    <t>Ludwig</t>
  </si>
  <si>
    <t>Iggy</t>
  </si>
  <si>
    <t>Roy</t>
  </si>
  <si>
    <t>Morton</t>
  </si>
  <si>
    <t>Link</t>
  </si>
  <si>
    <t>Villageois</t>
  </si>
  <si>
    <t>Villageoise</t>
  </si>
  <si>
    <t>Marie</t>
  </si>
  <si>
    <t>Birdo</t>
  </si>
  <si>
    <t>Wiggler</t>
  </si>
  <si>
    <t>Kamek</t>
  </si>
  <si>
    <t>Peachette</t>
  </si>
  <si>
    <t>Pauline</t>
  </si>
  <si>
    <t>MII</t>
  </si>
  <si>
    <t>Roi Boo</t>
  </si>
  <si>
    <t>🏆   Résultats Finaux   🏆</t>
  </si>
  <si>
    <t>Participant #17</t>
  </si>
  <si>
    <t>Participant #18</t>
  </si>
  <si>
    <t>Participant #19</t>
  </si>
  <si>
    <t>Participant #20</t>
  </si>
  <si>
    <t>Participant #21</t>
  </si>
  <si>
    <t>Participant #22</t>
  </si>
  <si>
    <t>Participant #23</t>
  </si>
  <si>
    <t>Participant #24</t>
  </si>
  <si>
    <t>LF</t>
  </si>
  <si>
    <t>M</t>
  </si>
  <si>
    <t>N</t>
  </si>
  <si>
    <t>O</t>
  </si>
  <si>
    <t>P</t>
  </si>
  <si>
    <t>Q</t>
  </si>
  <si>
    <t>R</t>
  </si>
  <si>
    <t>S</t>
  </si>
  <si>
    <t>Winner Round #03</t>
  </si>
  <si>
    <t>Looser Round #03</t>
  </si>
  <si>
    <t>Participant #25</t>
  </si>
  <si>
    <t>Participant #26</t>
  </si>
  <si>
    <t>Participant #27</t>
  </si>
  <si>
    <t>Participant #28</t>
  </si>
  <si>
    <t>Participant #29</t>
  </si>
  <si>
    <t>Participant #30</t>
  </si>
  <si>
    <t>Participant #31</t>
  </si>
  <si>
    <t>Participant #32</t>
  </si>
  <si>
    <t>25e</t>
  </si>
  <si>
    <t>29e</t>
  </si>
  <si>
    <t>21e</t>
  </si>
  <si>
    <t>17e</t>
  </si>
  <si>
    <t>14e</t>
  </si>
  <si>
    <t>Looser Round #04</t>
  </si>
  <si>
    <t>FINALES</t>
  </si>
  <si>
    <t>T</t>
  </si>
  <si>
    <t>U</t>
  </si>
  <si>
    <t>V</t>
  </si>
  <si>
    <t>W</t>
  </si>
  <si>
    <t>X</t>
  </si>
  <si>
    <t>Y</t>
  </si>
  <si>
    <t>Z</t>
  </si>
  <si>
    <t>AA</t>
  </si>
  <si>
    <t>Edition 150cc</t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</si>
  <si>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Daisy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</si>
  <si>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Harmonie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</si>
  <si>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Luigi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</si>
  <si>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Mario</t>
    </r>
  </si>
  <si>
    <r>
      <t>Baby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Peach</t>
    </r>
  </si>
  <si>
    <r>
      <t>Bill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Dozer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</si>
  <si>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Blanc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</si>
  <si>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Ciel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</si>
  <si>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Marine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</si>
  <si>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Jaune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</si>
  <si>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Noir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</si>
  <si>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Orange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</si>
  <si>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Rouge</t>
    </r>
  </si>
  <si>
    <r>
      <t>Birdo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</si>
  <si>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Bonhomme</t>
    </r>
    <r>
      <rPr>
        <sz val="13"/>
        <color rgb="FFCCCCCC"/>
        <rFont val="Consolas"/>
        <family val="3"/>
      </rPr>
      <t xml:space="preserve"> de </t>
    </r>
    <r>
      <rPr>
        <sz val="13"/>
        <color rgb="FF4FC1FF"/>
        <rFont val="Consolas"/>
        <family val="3"/>
      </rPr>
      <t>Neige</t>
    </r>
  </si>
  <si>
    <r>
      <t>Bowser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Jr</t>
    </r>
  </si>
  <si>
    <r>
      <t>Bowser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Squelette</t>
    </r>
  </si>
  <si>
    <t>Butitine</t>
  </si>
  <si>
    <t>Carottin</t>
  </si>
  <si>
    <t>Catacouac</t>
  </si>
  <si>
    <r>
      <t>Cheep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Cheep</t>
    </r>
  </si>
  <si>
    <t>Crapognon</t>
  </si>
  <si>
    <t>Dauphin</t>
  </si>
  <si>
    <r>
      <t>Diddy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</si>
  <si>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r>
      <t>Donkey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</si>
  <si>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r>
      <t>Flora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Piranha</t>
    </r>
  </si>
  <si>
    <r>
      <t>Frere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Marteau</t>
    </r>
  </si>
  <si>
    <r>
      <t>Funky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Kong</t>
    </r>
  </si>
  <si>
    <t>Goomba</t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</si>
  <si>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</si>
  <si>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Cyan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</si>
  <si>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Boy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Violet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</si>
  <si>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</si>
  <si>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Rose</t>
    </r>
  </si>
  <si>
    <r>
      <t>Inkling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Girl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</si>
  <si>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Link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BOTW</t>
    </r>
  </si>
  <si>
    <r>
      <t>Mario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Gold</t>
    </r>
  </si>
  <si>
    <r>
      <t>Mario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Tanuki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</si>
  <si>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Blanc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</si>
  <si>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Ciel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</si>
  <si>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Bleu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Marine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</si>
  <si>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Jaune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</si>
  <si>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Noir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</si>
  <si>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Orange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</si>
  <si>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Rose</t>
    </r>
  </si>
  <si>
    <r>
      <t>Maskass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Vert</t>
    </r>
  </si>
  <si>
    <r>
      <t>Metal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Mario</t>
    </r>
  </si>
  <si>
    <t>Ossec</t>
  </si>
  <si>
    <t>Paltrak</t>
  </si>
  <si>
    <t>Paracoccinelly</t>
  </si>
  <si>
    <r>
      <t>Peach</t>
    </r>
    <r>
      <rPr>
        <sz val="13"/>
        <color rgb="FFCCCCCC"/>
        <rFont val="Consolas"/>
        <family val="3"/>
      </rPr>
      <t xml:space="preserve"> </t>
    </r>
    <r>
      <rPr>
        <sz val="13"/>
        <color rgb="FF4FC1FF"/>
        <rFont val="Consolas"/>
        <family val="3"/>
      </rPr>
      <t>Chat</t>
    </r>
  </si>
  <si>
    <r>
      <t>Peach</t>
    </r>
    <r>
      <rPr>
        <sz val="13"/>
        <color rgb="FFCCCCCC"/>
        <rFont val="Consolas"/>
        <family val="3"/>
      </rPr>
      <t xml:space="preserve"> d</t>
    </r>
    <r>
      <rPr>
        <sz val="13"/>
        <color rgb="FFCE9178"/>
        <rFont val="Consolas"/>
        <family val="3"/>
      </rPr>
      <t>'Or Rose</t>
    </r>
  </si>
  <si>
    <t>Pianta</t>
  </si>
  <si>
    <t>Pico Condor</t>
  </si>
  <si>
    <t>Pingouin</t>
  </si>
  <si>
    <t>Plante Piranha</t>
  </si>
  <si>
    <t>Pokey</t>
  </si>
  <si>
    <t>Spike</t>
  </si>
  <si>
    <t>Swooper</t>
  </si>
  <si>
    <t>Topi Taupe</t>
  </si>
  <si>
    <t>Torti Taupe</t>
  </si>
  <si>
    <t>Vache</t>
  </si>
  <si>
    <t>Zarbipas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</si>
</sst>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40"/>
      <color theme="1"/>
      <name val="Arial"/>
      <family val="2"/>
    </font>
    <font>
      <sz val="32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  <font>
      <b/>
      <sz val="20"/>
      <color theme="1"/>
      <name val="Arial"/>
      <family val="2"/>
    </font>
    <font>
      <b/>
      <sz val="32"/>
      <color theme="1"/>
      <name val="Arial"/>
      <family val="2"/>
    </font>
    <font>
      <b/>
      <sz val="40"/>
      <color theme="1"/>
      <name val="Arial"/>
      <family val="2"/>
    </font>
    <font>
      <sz val="12.5"/>
      <color theme="1"/>
      <name val="Arial"/>
      <family val="2"/>
    </font>
    <font>
      <sz val="13"/>
      <color rgb="FFCE9178"/>
      <name val="Consolas"/>
      <family val="3"/>
    </font>
    <font>
      <b/>
      <sz val="64"/>
      <color theme="1"/>
      <name val="Arial"/>
      <family val="2"/>
    </font>
    <font>
      <b/>
      <sz val="24"/>
      <color theme="1"/>
      <name val="Arial"/>
      <family val="2"/>
    </font>
    <font>
      <sz val="13"/>
      <color rgb="FFCCCCCC"/>
      <name val="Consolas"/>
      <family val="3"/>
    </font>
    <font>
      <sz val="13"/>
      <color rgb="FF4FC1FF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8F336"/>
        <bgColor indexed="64"/>
      </patternFill>
    </fill>
    <fill>
      <patternFill patternType="solid">
        <fgColor rgb="FFCE9B6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91D42"/>
        <bgColor indexed="64"/>
      </patternFill>
    </fill>
    <fill>
      <patternFill patternType="solid">
        <fgColor rgb="FF51466A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7" fillId="5" borderId="10" xfId="0" applyFont="1" applyFill="1" applyBorder="1"/>
    <xf numFmtId="0" fontId="8" fillId="6" borderId="4" xfId="0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6" borderId="15" xfId="0" applyFont="1" applyFill="1" applyBorder="1" applyAlignment="1">
      <alignment horizontal="right" vertical="center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5" borderId="15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5" borderId="7" xfId="0" applyFont="1" applyFill="1" applyBorder="1"/>
    <xf numFmtId="0" fontId="7" fillId="5" borderId="8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9" borderId="13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10" borderId="14" xfId="0" applyFont="1" applyFill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right" vertical="center"/>
    </xf>
    <xf numFmtId="0" fontId="9" fillId="9" borderId="14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8" borderId="14" xfId="0" applyFont="1" applyFill="1" applyBorder="1" applyAlignment="1">
      <alignment horizontal="right" vertical="center"/>
    </xf>
    <xf numFmtId="0" fontId="9" fillId="10" borderId="14" xfId="0" applyFont="1" applyFill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5" fillId="5" borderId="17" xfId="0" applyFont="1" applyFill="1" applyBorder="1" applyAlignment="1">
      <alignment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0" xfId="0" applyFont="1" applyFill="1" applyBorder="1"/>
    <xf numFmtId="0" fontId="3" fillId="5" borderId="19" xfId="0" applyFont="1" applyFill="1" applyBorder="1"/>
    <xf numFmtId="0" fontId="1" fillId="5" borderId="19" xfId="0" applyFont="1" applyFill="1" applyBorder="1" applyAlignment="1">
      <alignment horizontal="right" vertical="center"/>
    </xf>
    <xf numFmtId="0" fontId="3" fillId="5" borderId="21" xfId="0" applyFont="1" applyFill="1" applyBorder="1"/>
    <xf numFmtId="0" fontId="3" fillId="5" borderId="22" xfId="0" applyFont="1" applyFill="1" applyBorder="1"/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/>
    <xf numFmtId="0" fontId="8" fillId="9" borderId="6" xfId="0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right" vertical="center"/>
    </xf>
    <xf numFmtId="0" fontId="8" fillId="10" borderId="6" xfId="0" applyFont="1" applyFill="1" applyBorder="1" applyAlignment="1">
      <alignment horizontal="right" vertical="center"/>
    </xf>
    <xf numFmtId="0" fontId="9" fillId="9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right" vertical="center"/>
    </xf>
    <xf numFmtId="0" fontId="1" fillId="5" borderId="22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right" vertical="center"/>
    </xf>
    <xf numFmtId="0" fontId="13" fillId="10" borderId="14" xfId="0" applyFont="1" applyFill="1" applyBorder="1" applyAlignment="1">
      <alignment horizontal="right" vertical="center"/>
    </xf>
    <xf numFmtId="0" fontId="13" fillId="0" borderId="14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right" vertical="center"/>
    </xf>
    <xf numFmtId="0" fontId="8" fillId="6" borderId="8" xfId="0" applyFont="1" applyFill="1" applyBorder="1" applyAlignment="1">
      <alignment horizontal="right" vertical="center"/>
    </xf>
    <xf numFmtId="0" fontId="8" fillId="7" borderId="8" xfId="0" applyFont="1" applyFill="1" applyBorder="1" applyAlignment="1">
      <alignment horizontal="right" vertical="center"/>
    </xf>
    <xf numFmtId="0" fontId="7" fillId="5" borderId="11" xfId="0" applyFont="1" applyFill="1" applyBorder="1"/>
    <xf numFmtId="0" fontId="1" fillId="0" borderId="12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3" borderId="14" xfId="0" applyFont="1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3" fillId="0" borderId="0" xfId="0" applyFont="1"/>
    <xf numFmtId="0" fontId="8" fillId="5" borderId="0" xfId="0" applyFont="1" applyFill="1" applyAlignment="1">
      <alignment horizontal="left" vertical="center"/>
    </xf>
    <xf numFmtId="0" fontId="3" fillId="3" borderId="13" xfId="0" applyFont="1" applyFill="1" applyBorder="1"/>
    <xf numFmtId="0" fontId="8" fillId="7" borderId="0" xfId="0" applyFont="1" applyFill="1" applyAlignment="1">
      <alignment horizontal="right" vertical="center"/>
    </xf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1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right" vertical="center"/>
    </xf>
    <xf numFmtId="0" fontId="8" fillId="6" borderId="7" xfId="0" applyFont="1" applyFill="1" applyBorder="1" applyAlignment="1">
      <alignment horizontal="right" vertic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1" fillId="5" borderId="0" xfId="0" applyFont="1" applyFill="1" applyAlignment="1">
      <alignment vertical="center" textRotation="255"/>
    </xf>
    <xf numFmtId="0" fontId="14" fillId="0" borderId="0" xfId="0" applyFont="1" applyAlignment="1">
      <alignment vertical="center"/>
    </xf>
    <xf numFmtId="0" fontId="3" fillId="0" borderId="20" xfId="0" applyFont="1" applyBorder="1"/>
    <xf numFmtId="0" fontId="5" fillId="5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9" fontId="1" fillId="5" borderId="0" xfId="0" applyNumberFormat="1" applyFont="1" applyFill="1"/>
    <xf numFmtId="0" fontId="4" fillId="5" borderId="0" xfId="0" applyFont="1" applyFill="1" applyAlignment="1">
      <alignment vertical="center"/>
    </xf>
    <xf numFmtId="0" fontId="1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left"/>
    </xf>
    <xf numFmtId="0" fontId="11" fillId="4" borderId="30" xfId="0" applyFont="1" applyFill="1" applyBorder="1" applyAlignment="1">
      <alignment vertical="center"/>
    </xf>
    <xf numFmtId="0" fontId="11" fillId="4" borderId="32" xfId="0" applyFont="1" applyFill="1" applyBorder="1" applyAlignment="1">
      <alignment vertical="center"/>
    </xf>
    <xf numFmtId="0" fontId="11" fillId="4" borderId="31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4" fillId="13" borderId="24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3" borderId="25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 textRotation="255"/>
    </xf>
    <xf numFmtId="0" fontId="12" fillId="11" borderId="2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1" fillId="0" borderId="2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 textRotation="255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8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14" fontId="16" fillId="4" borderId="31" xfId="0" applyNumberFormat="1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</cellXfs>
  <cellStyles count="1">
    <cellStyle name="Normal" xfId="0" builtinId="0"/>
  </cellStyles>
  <dxfs count="92"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  <dxf>
      <font>
        <b val="0"/>
        <i/>
        <color theme="1" tint="0.499984740745262"/>
      </font>
    </dxf>
  </dxfs>
  <tableStyles count="0" defaultTableStyle="TableStyleMedium2" defaultPivotStyle="PivotStyleLight16"/>
  <colors>
    <mruColors>
      <color rgb="FF51466A"/>
      <color rgb="FF291D42"/>
      <color rgb="FF453126"/>
      <color rgb="FFFF7C80"/>
      <color rgb="FF83746D"/>
      <color rgb="FF695B50"/>
      <color rgb="FF7B6C4B"/>
      <color rgb="FFCE9B68"/>
      <color rgb="FFF8F336"/>
      <color rgb="FFFBF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83F4-5B81-4835-B94B-188E90A9AF44}">
  <dimension ref="A1:BE148"/>
  <sheetViews>
    <sheetView tabSelected="1" topLeftCell="B11" zoomScale="40" zoomScaleNormal="40" zoomScaleSheetLayoutView="55" workbookViewId="0">
      <selection activeCell="E47" sqref="E47"/>
    </sheetView>
  </sheetViews>
  <sheetFormatPr baseColWidth="10" defaultColWidth="0" defaultRowHeight="14.25" zeroHeight="1" x14ac:dyDescent="0.2"/>
  <cols>
    <col min="1" max="1" width="16.42578125" style="76" hidden="1" customWidth="1"/>
    <col min="2" max="2" width="5.7109375" style="111" customWidth="1"/>
    <col min="3" max="3" width="13.28515625" style="108" customWidth="1"/>
    <col min="4" max="4" width="30.7109375" style="108" customWidth="1"/>
    <col min="5" max="5" width="4.7109375" style="108" customWidth="1"/>
    <col min="6" max="7" width="10.7109375" style="108" customWidth="1"/>
    <col min="8" max="8" width="20.7109375" style="108" customWidth="1"/>
    <col min="9" max="9" width="30.7109375" style="108" customWidth="1"/>
    <col min="10" max="10" width="8.7109375" style="108" customWidth="1"/>
    <col min="11" max="11" width="13.28515625" style="108" customWidth="1"/>
    <col min="12" max="12" width="10.7109375" style="108" customWidth="1"/>
    <col min="13" max="13" width="4.7109375" style="108" customWidth="1"/>
    <col min="14" max="14" width="36.28515625" style="108" hidden="1" customWidth="1"/>
    <col min="15" max="15" width="29.85546875" style="108" hidden="1" customWidth="1"/>
    <col min="16" max="16" width="4.7109375" style="108" customWidth="1"/>
    <col min="17" max="18" width="30.7109375" style="108" customWidth="1"/>
    <col min="19" max="19" width="4.7109375" style="108" customWidth="1"/>
    <col min="20" max="20" width="10.7109375" style="108" customWidth="1"/>
    <col min="21" max="22" width="4.7109375" style="108" customWidth="1"/>
    <col min="23" max="24" width="30.7109375" style="108" customWidth="1"/>
    <col min="25" max="25" width="4.7109375" style="108" customWidth="1"/>
    <col min="26" max="26" width="10.7109375" style="108" customWidth="1"/>
    <col min="27" max="28" width="4.7109375" style="108" customWidth="1"/>
    <col min="29" max="30" width="30.7109375" style="108" customWidth="1"/>
    <col min="31" max="31" width="4.7109375" style="108" customWidth="1"/>
    <col min="32" max="32" width="10.7109375" style="108" customWidth="1"/>
    <col min="33" max="34" width="4.7109375" style="108" customWidth="1"/>
    <col min="35" max="36" width="30.7109375" style="108" customWidth="1"/>
    <col min="37" max="37" width="4.7109375" style="108" customWidth="1"/>
    <col min="38" max="38" width="10.7109375" style="108" customWidth="1"/>
    <col min="39" max="40" width="4.7109375" style="108" customWidth="1"/>
    <col min="41" max="42" width="30.7109375" style="108" customWidth="1"/>
    <col min="43" max="43" width="4.7109375" style="108" customWidth="1"/>
    <col min="44" max="44" width="10.7109375" style="108" customWidth="1"/>
    <col min="45" max="45" width="13.28515625" style="108" customWidth="1"/>
    <col min="46" max="47" width="4.7109375" style="108" customWidth="1"/>
    <col min="48" max="49" width="30.7109375" style="108" customWidth="1"/>
    <col min="50" max="50" width="10.7109375" style="108" customWidth="1"/>
    <col min="51" max="51" width="4.7109375" style="108" customWidth="1"/>
    <col min="52" max="52" width="13.28515625" style="108" customWidth="1"/>
    <col min="53" max="53" width="5.7109375" style="108" customWidth="1"/>
    <col min="54" max="56" width="13.28515625" style="108" hidden="1" customWidth="1"/>
    <col min="57" max="57" width="5.7109375" style="108" hidden="1" customWidth="1"/>
    <col min="58" max="16384" width="11.42578125" style="108" hidden="1"/>
  </cols>
  <sheetData>
    <row r="1" spans="1:57" s="109" customFormat="1" ht="30" customHeight="1" thickBot="1" x14ac:dyDescent="0.25">
      <c r="A1" s="104" t="s">
        <v>142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</row>
    <row r="2" spans="1:57" s="76" customFormat="1" ht="15" customHeight="1" x14ac:dyDescent="0.2">
      <c r="A2" s="104" t="s">
        <v>143</v>
      </c>
      <c r="B2" s="111"/>
      <c r="C2" s="168" t="s">
        <v>0</v>
      </c>
      <c r="D2" s="169"/>
      <c r="E2" s="169"/>
      <c r="F2" s="169"/>
      <c r="G2" s="169"/>
      <c r="H2" s="169"/>
      <c r="I2" s="169"/>
      <c r="J2" s="169"/>
      <c r="K2" s="169"/>
      <c r="L2" s="105"/>
      <c r="M2" s="28"/>
      <c r="N2" s="28"/>
      <c r="O2" s="28"/>
      <c r="P2" s="28"/>
      <c r="Q2" s="28"/>
      <c r="R2" s="28"/>
      <c r="S2" s="28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105"/>
      <c r="AS2" s="29"/>
      <c r="AT2" s="29"/>
      <c r="AU2" s="29"/>
      <c r="AV2" s="29"/>
      <c r="AW2" s="29"/>
      <c r="AX2" s="29"/>
      <c r="AY2" s="29"/>
      <c r="AZ2" s="30"/>
      <c r="BA2" s="108"/>
      <c r="BE2" s="94"/>
    </row>
    <row r="3" spans="1:57" s="76" customFormat="1" ht="15" customHeight="1" x14ac:dyDescent="0.2">
      <c r="A3" s="104" t="s">
        <v>144</v>
      </c>
      <c r="B3" s="111"/>
      <c r="C3" s="170"/>
      <c r="D3" s="171"/>
      <c r="E3" s="171"/>
      <c r="F3" s="171"/>
      <c r="G3" s="171"/>
      <c r="H3" s="171"/>
      <c r="I3" s="171"/>
      <c r="J3" s="171"/>
      <c r="K3" s="171"/>
      <c r="L3" s="106"/>
      <c r="M3" s="95"/>
      <c r="N3" s="95"/>
      <c r="O3" s="95"/>
      <c r="P3" s="95"/>
      <c r="Q3" s="95"/>
      <c r="R3" s="95"/>
      <c r="S3" s="95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106"/>
      <c r="AS3" s="86"/>
      <c r="AT3" s="86"/>
      <c r="AU3" s="86"/>
      <c r="AV3" s="86"/>
      <c r="AW3" s="86"/>
      <c r="AX3" s="86"/>
      <c r="AY3" s="86"/>
      <c r="AZ3" s="31"/>
      <c r="BA3" s="108"/>
      <c r="BE3" s="94"/>
    </row>
    <row r="4" spans="1:57" s="76" customFormat="1" ht="15" customHeight="1" x14ac:dyDescent="0.2">
      <c r="A4" s="104" t="s">
        <v>145</v>
      </c>
      <c r="B4" s="111"/>
      <c r="C4" s="170"/>
      <c r="D4" s="171"/>
      <c r="E4" s="171"/>
      <c r="F4" s="171"/>
      <c r="G4" s="171"/>
      <c r="H4" s="171"/>
      <c r="I4" s="171"/>
      <c r="J4" s="171"/>
      <c r="K4" s="171"/>
      <c r="L4" s="10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106"/>
      <c r="AS4" s="86"/>
      <c r="AT4" s="86"/>
      <c r="AU4" s="86"/>
      <c r="AV4" s="86"/>
      <c r="AW4" s="86"/>
      <c r="AX4" s="86"/>
      <c r="AY4" s="86"/>
      <c r="AZ4" s="31"/>
      <c r="BA4" s="108"/>
      <c r="BE4" s="94"/>
    </row>
    <row r="5" spans="1:57" s="76" customFormat="1" ht="15" customHeight="1" x14ac:dyDescent="0.2">
      <c r="A5" s="104" t="s">
        <v>146</v>
      </c>
      <c r="B5" s="111"/>
      <c r="C5" s="170"/>
      <c r="D5" s="171"/>
      <c r="E5" s="171"/>
      <c r="F5" s="171"/>
      <c r="G5" s="171"/>
      <c r="H5" s="171"/>
      <c r="I5" s="171"/>
      <c r="J5" s="171"/>
      <c r="K5" s="171"/>
      <c r="L5" s="106"/>
      <c r="M5" s="121" t="s">
        <v>40</v>
      </c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3"/>
      <c r="AR5" s="106"/>
      <c r="AS5" s="133" t="s">
        <v>132</v>
      </c>
      <c r="AT5" s="134"/>
      <c r="AU5" s="134"/>
      <c r="AV5" s="134"/>
      <c r="AW5" s="134"/>
      <c r="AX5" s="134"/>
      <c r="AY5" s="134"/>
      <c r="AZ5" s="135"/>
      <c r="BA5" s="108"/>
      <c r="BE5" s="94"/>
    </row>
    <row r="6" spans="1:57" s="76" customFormat="1" ht="24.95" customHeight="1" thickBot="1" x14ac:dyDescent="0.25">
      <c r="A6" s="104" t="s">
        <v>147</v>
      </c>
      <c r="B6" s="111"/>
      <c r="C6" s="172"/>
      <c r="D6" s="173"/>
      <c r="E6" s="173"/>
      <c r="F6" s="173"/>
      <c r="G6" s="173"/>
      <c r="H6" s="173"/>
      <c r="I6" s="173"/>
      <c r="J6" s="173"/>
      <c r="K6" s="173"/>
      <c r="L6" s="106"/>
      <c r="M6" s="124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6"/>
      <c r="AR6" s="106"/>
      <c r="AS6" s="136"/>
      <c r="AT6" s="137"/>
      <c r="AU6" s="137"/>
      <c r="AV6" s="137"/>
      <c r="AW6" s="137"/>
      <c r="AX6" s="137"/>
      <c r="AY6" s="137"/>
      <c r="AZ6" s="138"/>
      <c r="BA6" s="108"/>
      <c r="BE6" s="94"/>
    </row>
    <row r="7" spans="1:57" s="76" customFormat="1" ht="39.950000000000003" customHeight="1" thickTop="1" thickBot="1" x14ac:dyDescent="0.25">
      <c r="A7" s="104" t="s">
        <v>92</v>
      </c>
      <c r="B7" s="111"/>
      <c r="C7" s="101"/>
      <c r="D7" s="103" t="s">
        <v>141</v>
      </c>
      <c r="E7" s="103"/>
      <c r="F7" s="103"/>
      <c r="G7" s="103"/>
      <c r="H7" s="103"/>
      <c r="I7" s="182">
        <v>45658</v>
      </c>
      <c r="J7" s="182"/>
      <c r="K7" s="102"/>
      <c r="L7" s="106"/>
      <c r="M7" s="127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9"/>
      <c r="AR7" s="106"/>
      <c r="AS7" s="139"/>
      <c r="AT7" s="140"/>
      <c r="AU7" s="140"/>
      <c r="AV7" s="140"/>
      <c r="AW7" s="140"/>
      <c r="AX7" s="140"/>
      <c r="AY7" s="140"/>
      <c r="AZ7" s="141"/>
      <c r="BA7" s="108"/>
      <c r="BE7" s="94"/>
    </row>
    <row r="8" spans="1:57" s="76" customFormat="1" ht="5.0999999999999996" customHeight="1" thickTop="1" x14ac:dyDescent="0.2">
      <c r="A8" s="104" t="s">
        <v>148</v>
      </c>
      <c r="B8" s="111"/>
      <c r="C8" s="183"/>
      <c r="D8" s="184"/>
      <c r="E8" s="184"/>
      <c r="F8" s="184"/>
      <c r="G8" s="184"/>
      <c r="H8" s="184"/>
      <c r="I8" s="184"/>
      <c r="J8" s="184"/>
      <c r="K8" s="184"/>
      <c r="L8" s="10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G8" s="86"/>
      <c r="AH8" s="86"/>
      <c r="AI8" s="86"/>
      <c r="AJ8" s="86"/>
      <c r="AK8" s="86"/>
      <c r="AM8" s="86"/>
      <c r="AN8" s="86"/>
      <c r="AO8" s="86"/>
      <c r="AP8" s="86"/>
      <c r="AQ8" s="86"/>
      <c r="AR8" s="106"/>
      <c r="AS8" s="86"/>
      <c r="AT8" s="86"/>
      <c r="AU8" s="86"/>
      <c r="AV8" s="86"/>
      <c r="AW8" s="86"/>
      <c r="AX8" s="86"/>
      <c r="AY8" s="86"/>
      <c r="AZ8" s="31"/>
      <c r="BA8" s="108"/>
      <c r="BE8" s="94"/>
    </row>
    <row r="9" spans="1:57" s="76" customFormat="1" ht="30" customHeight="1" x14ac:dyDescent="0.35">
      <c r="A9" s="104" t="s">
        <v>149</v>
      </c>
      <c r="B9" s="111"/>
      <c r="C9" s="32"/>
      <c r="D9" s="181"/>
      <c r="E9" s="181"/>
      <c r="F9" s="90"/>
      <c r="G9" s="89"/>
      <c r="H9" s="181"/>
      <c r="I9" s="181"/>
      <c r="J9" s="181"/>
      <c r="K9" s="86"/>
      <c r="L9" s="10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106"/>
      <c r="AS9" s="86"/>
      <c r="AT9" s="86"/>
      <c r="AU9" s="86"/>
      <c r="AV9" s="86"/>
      <c r="AW9" s="86"/>
      <c r="AX9" s="86"/>
      <c r="AY9" s="86"/>
      <c r="AZ9" s="31"/>
      <c r="BA9" s="108"/>
      <c r="BE9" s="94"/>
    </row>
    <row r="10" spans="1:57" s="76" customFormat="1" ht="30" customHeight="1" x14ac:dyDescent="0.2">
      <c r="A10" s="104" t="s">
        <v>150</v>
      </c>
      <c r="B10" s="111"/>
      <c r="C10" s="32"/>
      <c r="D10" s="86"/>
      <c r="E10" s="89"/>
      <c r="F10" s="90"/>
      <c r="G10" s="89"/>
      <c r="H10" s="89"/>
      <c r="I10" s="86"/>
      <c r="J10" s="86"/>
      <c r="K10" s="86"/>
      <c r="L10" s="10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106"/>
      <c r="AS10" s="86"/>
      <c r="AT10" s="86"/>
      <c r="AU10" s="86"/>
      <c r="AV10" s="86"/>
      <c r="AW10" s="86"/>
      <c r="AX10" s="86"/>
      <c r="AY10" s="86"/>
      <c r="AZ10" s="31"/>
      <c r="BA10" s="108"/>
      <c r="BE10" s="94"/>
    </row>
    <row r="11" spans="1:57" s="76" customFormat="1" ht="30" customHeight="1" x14ac:dyDescent="0.2">
      <c r="A11" s="104" t="s">
        <v>151</v>
      </c>
      <c r="B11" s="111"/>
      <c r="C11" s="32"/>
      <c r="D11" s="86"/>
      <c r="E11" s="89"/>
      <c r="F11" s="90"/>
      <c r="G11" s="89"/>
      <c r="H11" s="89"/>
      <c r="I11" s="86"/>
      <c r="J11" s="86"/>
      <c r="K11" s="86"/>
      <c r="L11" s="106"/>
      <c r="M11" s="145" t="s">
        <v>36</v>
      </c>
      <c r="N11" s="145"/>
      <c r="O11" s="145"/>
      <c r="P11" s="145"/>
      <c r="Q11" s="145"/>
      <c r="R11" s="145"/>
      <c r="S11" s="146"/>
      <c r="T11" s="86"/>
      <c r="U11" s="144" t="s">
        <v>43</v>
      </c>
      <c r="V11" s="145"/>
      <c r="W11" s="145"/>
      <c r="X11" s="145"/>
      <c r="Y11" s="146"/>
      <c r="Z11" s="86"/>
      <c r="AA11" s="144" t="s">
        <v>116</v>
      </c>
      <c r="AB11" s="145"/>
      <c r="AC11" s="145"/>
      <c r="AD11" s="145"/>
      <c r="AE11" s="146"/>
      <c r="AF11" s="86"/>
      <c r="AG11" s="144" t="s">
        <v>39</v>
      </c>
      <c r="AH11" s="145"/>
      <c r="AI11" s="145"/>
      <c r="AJ11" s="145"/>
      <c r="AK11" s="146"/>
      <c r="AL11" s="86"/>
      <c r="AM11" s="86"/>
      <c r="AN11" s="86"/>
      <c r="AO11" s="86"/>
      <c r="AP11" s="86"/>
      <c r="AQ11" s="86"/>
      <c r="AR11" s="106"/>
      <c r="AS11" s="86"/>
      <c r="AT11" s="144" t="s">
        <v>52</v>
      </c>
      <c r="AU11" s="145"/>
      <c r="AV11" s="145"/>
      <c r="AW11" s="145"/>
      <c r="AX11" s="145"/>
      <c r="AY11" s="146"/>
      <c r="AZ11" s="31"/>
      <c r="BA11" s="108"/>
      <c r="BE11" s="94"/>
    </row>
    <row r="12" spans="1:57" s="76" customFormat="1" ht="30" customHeight="1" x14ac:dyDescent="0.2">
      <c r="A12" s="104" t="s">
        <v>152</v>
      </c>
      <c r="B12" s="111"/>
      <c r="C12" s="32"/>
      <c r="D12" s="86"/>
      <c r="E12" s="89"/>
      <c r="F12" s="90"/>
      <c r="G12" s="89"/>
      <c r="H12" s="89"/>
      <c r="I12" s="86"/>
      <c r="J12" s="86"/>
      <c r="K12" s="86"/>
      <c r="L12" s="106"/>
      <c r="M12" s="148"/>
      <c r="N12" s="148"/>
      <c r="O12" s="148"/>
      <c r="P12" s="148"/>
      <c r="Q12" s="148"/>
      <c r="R12" s="148"/>
      <c r="S12" s="149"/>
      <c r="T12" s="86"/>
      <c r="U12" s="147"/>
      <c r="V12" s="148"/>
      <c r="W12" s="148"/>
      <c r="X12" s="148"/>
      <c r="Y12" s="149"/>
      <c r="Z12" s="86"/>
      <c r="AA12" s="147"/>
      <c r="AB12" s="148"/>
      <c r="AC12" s="148"/>
      <c r="AD12" s="148"/>
      <c r="AE12" s="149"/>
      <c r="AF12" s="86"/>
      <c r="AG12" s="147"/>
      <c r="AH12" s="148"/>
      <c r="AI12" s="148"/>
      <c r="AJ12" s="148"/>
      <c r="AK12" s="149"/>
      <c r="AL12" s="86"/>
      <c r="AM12" s="86"/>
      <c r="AN12" s="86"/>
      <c r="AO12" s="86"/>
      <c r="AP12" s="86"/>
      <c r="AQ12" s="86"/>
      <c r="AR12" s="106"/>
      <c r="AS12" s="86"/>
      <c r="AT12" s="147"/>
      <c r="AU12" s="148"/>
      <c r="AV12" s="148"/>
      <c r="AW12" s="148"/>
      <c r="AX12" s="148"/>
      <c r="AY12" s="149"/>
      <c r="AZ12" s="31"/>
      <c r="BA12" s="108"/>
      <c r="BE12" s="94"/>
    </row>
    <row r="13" spans="1:57" s="76" customFormat="1" ht="25.5" customHeight="1" x14ac:dyDescent="0.2">
      <c r="A13" s="104" t="s">
        <v>153</v>
      </c>
      <c r="B13" s="111"/>
      <c r="C13" s="32"/>
      <c r="D13" s="174" t="s">
        <v>2</v>
      </c>
      <c r="E13" s="176"/>
      <c r="F13" s="90"/>
      <c r="G13" s="89"/>
      <c r="H13" s="174" t="s">
        <v>99</v>
      </c>
      <c r="I13" s="175"/>
      <c r="J13" s="176"/>
      <c r="K13" s="86"/>
      <c r="L13" s="106"/>
      <c r="M13" s="151"/>
      <c r="N13" s="151"/>
      <c r="O13" s="151"/>
      <c r="P13" s="151"/>
      <c r="Q13" s="151"/>
      <c r="R13" s="151"/>
      <c r="S13" s="152"/>
      <c r="T13" s="86"/>
      <c r="U13" s="150"/>
      <c r="V13" s="151"/>
      <c r="W13" s="151"/>
      <c r="X13" s="151"/>
      <c r="Y13" s="152"/>
      <c r="Z13" s="86"/>
      <c r="AA13" s="150"/>
      <c r="AB13" s="151"/>
      <c r="AC13" s="151"/>
      <c r="AD13" s="151"/>
      <c r="AE13" s="152"/>
      <c r="AF13" s="86"/>
      <c r="AG13" s="150"/>
      <c r="AH13" s="151"/>
      <c r="AI13" s="151"/>
      <c r="AJ13" s="151"/>
      <c r="AK13" s="152"/>
      <c r="AL13" s="86"/>
      <c r="AM13" s="86"/>
      <c r="AN13" s="86"/>
      <c r="AO13" s="86"/>
      <c r="AP13" s="86"/>
      <c r="AQ13" s="86"/>
      <c r="AR13" s="106"/>
      <c r="AS13" s="86"/>
      <c r="AT13" s="150"/>
      <c r="AU13" s="151"/>
      <c r="AV13" s="151"/>
      <c r="AW13" s="151"/>
      <c r="AX13" s="151"/>
      <c r="AY13" s="152"/>
      <c r="AZ13" s="31"/>
      <c r="BA13" s="108"/>
      <c r="BE13" s="94"/>
    </row>
    <row r="14" spans="1:57" s="76" customFormat="1" ht="24.95" customHeight="1" x14ac:dyDescent="0.2">
      <c r="A14" s="104" t="s">
        <v>154</v>
      </c>
      <c r="B14" s="111"/>
      <c r="C14" s="32"/>
      <c r="D14" s="177"/>
      <c r="E14" s="180"/>
      <c r="F14" s="90"/>
      <c r="G14" s="89"/>
      <c r="H14" s="177"/>
      <c r="I14" s="178"/>
      <c r="J14" s="179"/>
      <c r="K14" s="86"/>
      <c r="L14" s="106"/>
      <c r="M14" s="143"/>
      <c r="N14" s="143"/>
      <c r="O14" s="143"/>
      <c r="P14" s="143"/>
      <c r="Q14" s="143"/>
      <c r="R14" s="143"/>
      <c r="S14" s="159"/>
      <c r="T14" s="86"/>
      <c r="U14" s="142"/>
      <c r="V14" s="143"/>
      <c r="W14" s="143"/>
      <c r="X14" s="143"/>
      <c r="Y14" s="159"/>
      <c r="Z14" s="86"/>
      <c r="AA14" s="142"/>
      <c r="AB14" s="143"/>
      <c r="AC14" s="143"/>
      <c r="AD14" s="143"/>
      <c r="AE14" s="159"/>
      <c r="AF14" s="86"/>
      <c r="AG14" s="142"/>
      <c r="AH14" s="143"/>
      <c r="AI14" s="143"/>
      <c r="AJ14" s="143"/>
      <c r="AK14" s="159"/>
      <c r="AL14" s="86"/>
      <c r="AM14" s="86"/>
      <c r="AN14" s="86"/>
      <c r="AO14" s="86"/>
      <c r="AP14" s="86"/>
      <c r="AQ14" s="86"/>
      <c r="AR14" s="106"/>
      <c r="AS14" s="86"/>
      <c r="AT14" s="60"/>
      <c r="AU14" s="58"/>
      <c r="AV14" s="58"/>
      <c r="AW14" s="58"/>
      <c r="AX14" s="58"/>
      <c r="AY14" s="59"/>
      <c r="AZ14" s="31"/>
      <c r="BA14" s="108"/>
      <c r="BE14" s="94"/>
    </row>
    <row r="15" spans="1:57" s="76" customFormat="1" ht="24.95" customHeight="1" x14ac:dyDescent="0.3">
      <c r="A15" s="104" t="s">
        <v>155</v>
      </c>
      <c r="B15" s="111"/>
      <c r="C15" s="32"/>
      <c r="D15" s="50" t="s">
        <v>3</v>
      </c>
      <c r="E15" s="11">
        <v>0</v>
      </c>
      <c r="F15" s="90"/>
      <c r="G15" s="89"/>
      <c r="H15" s="44" t="s">
        <v>58</v>
      </c>
      <c r="I15" s="23" t="str">
        <f>IF(ISBLANK(AW17),"TBD",AW17)</f>
        <v>TBD</v>
      </c>
      <c r="J15" s="41" t="s">
        <v>19</v>
      </c>
      <c r="K15" s="86"/>
      <c r="L15" s="106"/>
      <c r="M15" s="185"/>
      <c r="N15" s="96"/>
      <c r="O15" s="96"/>
      <c r="P15" s="13">
        <v>4</v>
      </c>
      <c r="Q15" s="189" t="s">
        <v>29</v>
      </c>
      <c r="R15" s="190"/>
      <c r="S15" s="157"/>
      <c r="T15" s="86"/>
      <c r="U15" s="157"/>
      <c r="V15" s="56">
        <v>4</v>
      </c>
      <c r="W15" s="153" t="s">
        <v>29</v>
      </c>
      <c r="X15" s="153"/>
      <c r="Y15" s="157"/>
      <c r="Z15" s="86"/>
      <c r="AA15" s="157"/>
      <c r="AB15" s="56">
        <v>4</v>
      </c>
      <c r="AC15" s="153" t="s">
        <v>29</v>
      </c>
      <c r="AD15" s="153"/>
      <c r="AE15" s="157"/>
      <c r="AF15" s="86"/>
      <c r="AG15" s="157"/>
      <c r="AH15" s="2">
        <v>4</v>
      </c>
      <c r="AI15" s="153" t="s">
        <v>29</v>
      </c>
      <c r="AJ15" s="154"/>
      <c r="AK15" s="157"/>
      <c r="AL15" s="86"/>
      <c r="AM15" s="86"/>
      <c r="AN15" s="86"/>
      <c r="AO15" s="86"/>
      <c r="AP15" s="86"/>
      <c r="AQ15" s="86"/>
      <c r="AR15" s="106"/>
      <c r="AS15" s="86"/>
      <c r="AT15" s="61"/>
      <c r="AU15" s="2">
        <v>6</v>
      </c>
      <c r="AV15" s="69" t="s">
        <v>29</v>
      </c>
      <c r="AW15" s="69"/>
      <c r="AX15" s="70"/>
      <c r="AY15" s="61"/>
      <c r="AZ15" s="31"/>
      <c r="BA15" s="108"/>
      <c r="BE15" s="94"/>
    </row>
    <row r="16" spans="1:57" s="76" customFormat="1" ht="24.95" customHeight="1" x14ac:dyDescent="0.2">
      <c r="A16" s="104" t="s">
        <v>156</v>
      </c>
      <c r="B16" s="111"/>
      <c r="C16" s="32"/>
      <c r="D16" s="51" t="s">
        <v>4</v>
      </c>
      <c r="E16" s="12">
        <v>0</v>
      </c>
      <c r="F16" s="90"/>
      <c r="G16" s="89"/>
      <c r="H16" s="46" t="s">
        <v>58</v>
      </c>
      <c r="I16" s="25" t="str">
        <f>IF(ISBLANK(AW18),"TBD",AW18)</f>
        <v>TBD</v>
      </c>
      <c r="J16" s="42" t="s">
        <v>20</v>
      </c>
      <c r="K16" s="86"/>
      <c r="L16" s="106"/>
      <c r="M16" s="186"/>
      <c r="N16" s="96"/>
      <c r="O16" s="96">
        <f>ROW()</f>
        <v>16</v>
      </c>
      <c r="P16" s="1" t="s">
        <v>30</v>
      </c>
      <c r="Q16" s="11" t="s">
        <v>1</v>
      </c>
      <c r="R16" s="1" t="s">
        <v>31</v>
      </c>
      <c r="S16" s="158"/>
      <c r="T16" s="86"/>
      <c r="U16" s="158"/>
      <c r="V16" s="57" t="s">
        <v>30</v>
      </c>
      <c r="W16" s="11" t="s">
        <v>1</v>
      </c>
      <c r="X16" s="52" t="s">
        <v>31</v>
      </c>
      <c r="Y16" s="158"/>
      <c r="Z16" s="86"/>
      <c r="AA16" s="158"/>
      <c r="AB16" s="57" t="s">
        <v>30</v>
      </c>
      <c r="AC16" s="11" t="s">
        <v>1</v>
      </c>
      <c r="AD16" s="52" t="s">
        <v>31</v>
      </c>
      <c r="AE16" s="158"/>
      <c r="AF16" s="86"/>
      <c r="AG16" s="158"/>
      <c r="AH16" s="1" t="s">
        <v>30</v>
      </c>
      <c r="AI16" s="11" t="s">
        <v>1</v>
      </c>
      <c r="AJ16" s="1" t="s">
        <v>31</v>
      </c>
      <c r="AK16" s="158"/>
      <c r="AL16" s="86"/>
      <c r="AM16" s="86"/>
      <c r="AN16" s="86"/>
      <c r="AO16" s="86"/>
      <c r="AP16" s="86"/>
      <c r="AQ16" s="86"/>
      <c r="AR16" s="106"/>
      <c r="AS16" s="86"/>
      <c r="AT16" s="62"/>
      <c r="AU16" s="1" t="s">
        <v>30</v>
      </c>
      <c r="AV16" s="11" t="s">
        <v>1</v>
      </c>
      <c r="AW16" s="11" t="s">
        <v>31</v>
      </c>
      <c r="AX16" s="1" t="s">
        <v>57</v>
      </c>
      <c r="AY16" s="62"/>
      <c r="AZ16" s="31"/>
      <c r="BA16" s="108"/>
      <c r="BE16" s="94"/>
    </row>
    <row r="17" spans="1:57" s="76" customFormat="1" ht="24.95" customHeight="1" x14ac:dyDescent="0.2">
      <c r="A17" s="104" t="s">
        <v>79</v>
      </c>
      <c r="B17" s="111"/>
      <c r="C17" s="32"/>
      <c r="D17" s="51" t="s">
        <v>5</v>
      </c>
      <c r="E17" s="12">
        <v>0</v>
      </c>
      <c r="F17" s="90"/>
      <c r="G17" s="89"/>
      <c r="H17" s="47" t="s">
        <v>58</v>
      </c>
      <c r="I17" s="26" t="str">
        <f>IF(ISBLANK(AW19),"TBD",AW19)</f>
        <v>TBD</v>
      </c>
      <c r="J17" s="43" t="s">
        <v>21</v>
      </c>
      <c r="K17" s="86"/>
      <c r="L17" s="106"/>
      <c r="M17" s="186"/>
      <c r="N17" s="96" t="str">
        <f t="shared" ref="N17:N48" si="0">IF(E15=2,D15 &amp; "  [DQ]",D15)</f>
        <v>Participant #01</v>
      </c>
      <c r="O17" s="96" t="str">
        <f t="shared" ref="O17:O48" si="1">IF(E15&gt;=1,ROW()-$O$16,"")</f>
        <v/>
      </c>
      <c r="P17" s="155" t="s">
        <v>32</v>
      </c>
      <c r="Q17" s="7" t="str" cm="1">
        <f t="array" ref="Q17">IFERROR(INDEX($N$17:$N$48,SMALL($O$17:$O$48,ROW(B1))),"-")</f>
        <v>-</v>
      </c>
      <c r="R17" s="3"/>
      <c r="S17" s="158"/>
      <c r="T17" s="86"/>
      <c r="U17" s="158"/>
      <c r="V17" s="161" t="s">
        <v>48</v>
      </c>
      <c r="W17" s="7" t="str">
        <f>IF(ISBLANK($R$17),"A1",$R$17)</f>
        <v>A1</v>
      </c>
      <c r="X17" s="53"/>
      <c r="Y17" s="158"/>
      <c r="Z17" s="86"/>
      <c r="AA17" s="158"/>
      <c r="AB17" s="161" t="s">
        <v>109</v>
      </c>
      <c r="AC17" s="7" t="str">
        <f>IF(ISBLANK($X$17),"I1",$X$17)</f>
        <v>I1</v>
      </c>
      <c r="AD17" s="53"/>
      <c r="AE17" s="158"/>
      <c r="AF17" s="86"/>
      <c r="AG17" s="158"/>
      <c r="AH17" s="155" t="s">
        <v>50</v>
      </c>
      <c r="AI17" s="7" t="str">
        <f>IF(ISBLANK($AD$17),"M1",$AD$17)</f>
        <v>M1</v>
      </c>
      <c r="AJ17" s="3"/>
      <c r="AK17" s="158"/>
      <c r="AL17" s="86"/>
      <c r="AM17" s="86"/>
      <c r="AN17" s="86"/>
      <c r="AO17" s="86"/>
      <c r="AP17" s="86"/>
      <c r="AQ17" s="86"/>
      <c r="AR17" s="106"/>
      <c r="AS17" s="86"/>
      <c r="AT17" s="62"/>
      <c r="AU17" s="130" t="s">
        <v>53</v>
      </c>
      <c r="AV17" s="15" t="str">
        <f>IF(ISBLANK($AJ$17),"WF1",$AJ$17)</f>
        <v>WF1</v>
      </c>
      <c r="AW17" s="18"/>
      <c r="AX17" s="38">
        <v>0</v>
      </c>
      <c r="AY17" s="64"/>
      <c r="AZ17" s="31"/>
      <c r="BA17" s="108"/>
      <c r="BE17" s="94"/>
    </row>
    <row r="18" spans="1:57" s="76" customFormat="1" ht="24.95" customHeight="1" x14ac:dyDescent="0.2">
      <c r="A18" s="104" t="s">
        <v>157</v>
      </c>
      <c r="B18" s="111"/>
      <c r="C18" s="33"/>
      <c r="D18" s="51" t="s">
        <v>6</v>
      </c>
      <c r="E18" s="12">
        <v>0</v>
      </c>
      <c r="F18" s="90"/>
      <c r="G18" s="90"/>
      <c r="H18" s="48" t="s">
        <v>58</v>
      </c>
      <c r="I18" s="21" t="str">
        <f>IF(ISBLANK(AW20),"TBD",AW20)</f>
        <v>TBD</v>
      </c>
      <c r="J18" s="24" t="s">
        <v>22</v>
      </c>
      <c r="K18" s="86"/>
      <c r="L18" s="106"/>
      <c r="M18" s="186"/>
      <c r="N18" s="96" t="str">
        <f t="shared" si="0"/>
        <v>Participant #02</v>
      </c>
      <c r="O18" s="96" t="str">
        <f t="shared" si="1"/>
        <v/>
      </c>
      <c r="P18" s="156"/>
      <c r="Q18" s="8" t="str" cm="1">
        <f t="array" ref="Q18">IFERROR(INDEX($N$17:$N$48,SMALL($O$17:$O$48,ROW(B9))),"-")</f>
        <v>-</v>
      </c>
      <c r="R18" s="10"/>
      <c r="S18" s="158"/>
      <c r="T18" s="86"/>
      <c r="U18" s="158"/>
      <c r="V18" s="162"/>
      <c r="W18" s="8" t="str">
        <f>IF(ISBLANK($R$33),"E1",$R$33)</f>
        <v>E1</v>
      </c>
      <c r="X18" s="54"/>
      <c r="Y18" s="158"/>
      <c r="Z18" s="86"/>
      <c r="AA18" s="158"/>
      <c r="AB18" s="162"/>
      <c r="AC18" s="8" t="str">
        <f>IF(ISBLANK($X$25),"K1",$X$25)</f>
        <v>K1</v>
      </c>
      <c r="AD18" s="54"/>
      <c r="AE18" s="158"/>
      <c r="AF18" s="86"/>
      <c r="AG18" s="158"/>
      <c r="AH18" s="156"/>
      <c r="AI18" s="8" t="str">
        <f>IF(ISBLANK($AD$21),"N1",$AD$21)</f>
        <v>N1</v>
      </c>
      <c r="AJ18" s="10"/>
      <c r="AK18" s="158"/>
      <c r="AL18" s="86"/>
      <c r="AM18" s="86"/>
      <c r="AN18" s="86"/>
      <c r="AO18" s="86"/>
      <c r="AP18" s="86"/>
      <c r="AQ18" s="86"/>
      <c r="AR18" s="106"/>
      <c r="AS18" s="86"/>
      <c r="AT18" s="62"/>
      <c r="AU18" s="131"/>
      <c r="AV18" s="16" t="str">
        <f>IF(ISBLANK($AJ$18),"WF2",$AJ$18)</f>
        <v>WF2</v>
      </c>
      <c r="AW18" s="19"/>
      <c r="AX18" s="39">
        <v>0</v>
      </c>
      <c r="AY18" s="64"/>
      <c r="AZ18" s="31"/>
      <c r="BA18" s="108"/>
      <c r="BE18" s="94"/>
    </row>
    <row r="19" spans="1:57" s="76" customFormat="1" ht="24.95" customHeight="1" x14ac:dyDescent="0.2">
      <c r="A19" s="104" t="s">
        <v>158</v>
      </c>
      <c r="B19" s="111"/>
      <c r="C19" s="33"/>
      <c r="D19" s="51" t="s">
        <v>7</v>
      </c>
      <c r="E19" s="12">
        <v>0</v>
      </c>
      <c r="F19" s="90"/>
      <c r="G19" s="90"/>
      <c r="H19" s="48" t="s">
        <v>58</v>
      </c>
      <c r="I19" s="21" t="str">
        <f>IF(ISBLANK(AW31),"TBD",AW31)</f>
        <v>TBD</v>
      </c>
      <c r="J19" s="24" t="s">
        <v>23</v>
      </c>
      <c r="K19" s="86"/>
      <c r="L19" s="106"/>
      <c r="M19" s="186"/>
      <c r="N19" s="96" t="str">
        <f t="shared" si="0"/>
        <v>Participant #03</v>
      </c>
      <c r="O19" s="96" t="str">
        <f t="shared" si="1"/>
        <v/>
      </c>
      <c r="P19" s="156"/>
      <c r="Q19" s="8" t="str" cm="1">
        <f t="array" ref="Q19">IFERROR(INDEX($N$17:$N$48,SMALL($O$17:$O$48,ROW(B17))),"-")</f>
        <v>-</v>
      </c>
      <c r="R19" s="4"/>
      <c r="S19" s="158"/>
      <c r="T19" s="86"/>
      <c r="U19" s="158"/>
      <c r="V19" s="162"/>
      <c r="W19" s="8" t="str">
        <f>IF(ISBLANK($R$22),"B2",$R$22)</f>
        <v>B2</v>
      </c>
      <c r="X19" s="79"/>
      <c r="Y19" s="158"/>
      <c r="Z19" s="86"/>
      <c r="AA19" s="158"/>
      <c r="AB19" s="162"/>
      <c r="AC19" s="8" t="str">
        <f>IF(ISBLANK($X$22),"J2",$X$22)</f>
        <v>J2</v>
      </c>
      <c r="AD19" s="79"/>
      <c r="AE19" s="158"/>
      <c r="AF19" s="86"/>
      <c r="AG19" s="158"/>
      <c r="AH19" s="156"/>
      <c r="AI19" s="8" t="str">
        <f>IF(ISBLANK($AD$18),"M2",$AD$18)</f>
        <v>M2</v>
      </c>
      <c r="AJ19" s="4"/>
      <c r="AK19" s="158"/>
      <c r="AL19" s="86"/>
      <c r="AM19" s="86"/>
      <c r="AN19" s="86"/>
      <c r="AO19" s="86"/>
      <c r="AP19" s="86"/>
      <c r="AQ19" s="86"/>
      <c r="AR19" s="106"/>
      <c r="AS19" s="86"/>
      <c r="AT19" s="62"/>
      <c r="AU19" s="131"/>
      <c r="AV19" s="16" t="str">
        <f>IF(ISBLANK($AP$63),"LF1",$AP$63)</f>
        <v>LF1</v>
      </c>
      <c r="AW19" s="20"/>
      <c r="AX19" s="40">
        <v>0</v>
      </c>
      <c r="AY19" s="64"/>
      <c r="AZ19" s="31"/>
      <c r="BA19" s="108"/>
      <c r="BE19" s="94"/>
    </row>
    <row r="20" spans="1:57" s="76" customFormat="1" ht="24.95" customHeight="1" x14ac:dyDescent="0.2">
      <c r="A20" s="104" t="s">
        <v>159</v>
      </c>
      <c r="B20" s="111"/>
      <c r="C20" s="33"/>
      <c r="D20" s="51" t="s">
        <v>8</v>
      </c>
      <c r="E20" s="12">
        <v>0</v>
      </c>
      <c r="F20" s="90"/>
      <c r="G20" s="90"/>
      <c r="H20" s="48" t="s">
        <v>58</v>
      </c>
      <c r="I20" s="21" t="str">
        <f>IF(ISBLANK(AW32),"TBD",AW32)</f>
        <v>TBD</v>
      </c>
      <c r="J20" s="24" t="s">
        <v>24</v>
      </c>
      <c r="K20" s="86"/>
      <c r="L20" s="106"/>
      <c r="M20" s="186"/>
      <c r="N20" s="96" t="str">
        <f t="shared" si="0"/>
        <v>Participant #04</v>
      </c>
      <c r="O20" s="96" t="str">
        <f t="shared" si="1"/>
        <v/>
      </c>
      <c r="P20" s="164"/>
      <c r="Q20" s="9" t="str" cm="1">
        <f t="array" ref="Q20">IFERROR(INDEX($N$17:$N$48,SMALL($O$17:$O$48,ROW(B25))),"-")</f>
        <v>-</v>
      </c>
      <c r="R20" s="5"/>
      <c r="S20" s="158"/>
      <c r="T20" s="86"/>
      <c r="U20" s="158"/>
      <c r="V20" s="163"/>
      <c r="W20" s="9" t="str">
        <f>IF(ISBLANK($R$38),"F2",$R$38)</f>
        <v>F2</v>
      </c>
      <c r="X20" s="55"/>
      <c r="Y20" s="158"/>
      <c r="Z20" s="86"/>
      <c r="AA20" s="158"/>
      <c r="AB20" s="163"/>
      <c r="AC20" s="9" t="str">
        <f>IF(ISBLANK($X$30),"L2",$X$30)</f>
        <v>L2</v>
      </c>
      <c r="AD20" s="55"/>
      <c r="AE20" s="158"/>
      <c r="AF20" s="86"/>
      <c r="AG20" s="160"/>
      <c r="AH20" s="164"/>
      <c r="AI20" s="9" t="str">
        <f>IF(ISBLANK($AD$22),"N2",$AD$22)</f>
        <v>N2</v>
      </c>
      <c r="AJ20" s="5"/>
      <c r="AK20" s="160"/>
      <c r="AL20" s="86"/>
      <c r="AM20" s="86"/>
      <c r="AN20" s="86"/>
      <c r="AO20" s="86"/>
      <c r="AP20" s="86"/>
      <c r="AQ20" s="86"/>
      <c r="AR20" s="106"/>
      <c r="AS20" s="86"/>
      <c r="AT20" s="63"/>
      <c r="AU20" s="132"/>
      <c r="AV20" s="17" t="str">
        <f>IF(ISBLANK($AP$64),"LF2",$AP$64)</f>
        <v>LF2</v>
      </c>
      <c r="AW20" s="6"/>
      <c r="AX20" s="10">
        <v>0</v>
      </c>
      <c r="AY20" s="65"/>
      <c r="AZ20" s="31"/>
      <c r="BA20" s="108"/>
      <c r="BE20" s="94"/>
    </row>
    <row r="21" spans="1:57" s="76" customFormat="1" ht="24.95" customHeight="1" x14ac:dyDescent="0.2">
      <c r="A21" s="104" t="s">
        <v>160</v>
      </c>
      <c r="B21" s="111"/>
      <c r="C21" s="33"/>
      <c r="D21" s="51" t="s">
        <v>9</v>
      </c>
      <c r="E21" s="12">
        <v>0</v>
      </c>
      <c r="F21" s="90"/>
      <c r="G21" s="90"/>
      <c r="H21" s="48" t="s">
        <v>58</v>
      </c>
      <c r="I21" s="21" t="str">
        <f>IF(ISBLANK(AW33),"TBD",AW33)</f>
        <v>TBD</v>
      </c>
      <c r="J21" s="24" t="s">
        <v>25</v>
      </c>
      <c r="K21" s="86"/>
      <c r="L21" s="106"/>
      <c r="M21" s="186"/>
      <c r="N21" s="96" t="str">
        <f t="shared" si="0"/>
        <v>Participant #05</v>
      </c>
      <c r="O21" s="96" t="str">
        <f t="shared" si="1"/>
        <v/>
      </c>
      <c r="P21" s="155" t="s">
        <v>33</v>
      </c>
      <c r="Q21" s="7" t="str" cm="1">
        <f t="array" ref="Q21">IFERROR(INDEX($N$17:$N$48,SMALL($O$17:$O$48,ROW(B2))),"-")</f>
        <v>-</v>
      </c>
      <c r="R21" s="3"/>
      <c r="S21" s="158"/>
      <c r="T21" s="86"/>
      <c r="U21" s="158"/>
      <c r="V21" s="161" t="s">
        <v>47</v>
      </c>
      <c r="W21" s="8" t="str">
        <f>IF(ISBLANK($R$21),"B1",$R$21)</f>
        <v>B1</v>
      </c>
      <c r="X21" s="53"/>
      <c r="Y21" s="158"/>
      <c r="Z21" s="86"/>
      <c r="AA21" s="158"/>
      <c r="AB21" s="161" t="s">
        <v>110</v>
      </c>
      <c r="AC21" s="8" t="str">
        <f>IF(ISBLANK($X$21),"J1",$X$21)</f>
        <v>J1</v>
      </c>
      <c r="AD21" s="53"/>
      <c r="AE21" s="158"/>
      <c r="AF21" s="86"/>
      <c r="AG21" s="142"/>
      <c r="AH21" s="143"/>
      <c r="AI21" s="143"/>
      <c r="AJ21" s="143"/>
      <c r="AK21" s="159"/>
      <c r="AL21" s="86"/>
      <c r="AM21" s="86"/>
      <c r="AN21" s="86"/>
      <c r="AO21" s="86"/>
      <c r="AP21" s="86"/>
      <c r="AQ21" s="86"/>
      <c r="AR21" s="106"/>
      <c r="AS21" s="86"/>
      <c r="AT21" s="60"/>
      <c r="AU21" s="58"/>
      <c r="AV21" s="68"/>
      <c r="AW21" s="68"/>
      <c r="AX21" s="68"/>
      <c r="AY21" s="59"/>
      <c r="AZ21" s="31"/>
      <c r="BA21" s="108"/>
      <c r="BE21" s="94"/>
    </row>
    <row r="22" spans="1:57" s="76" customFormat="1" ht="24.95" customHeight="1" x14ac:dyDescent="0.2">
      <c r="A22" s="104" t="s">
        <v>161</v>
      </c>
      <c r="B22" s="111"/>
      <c r="C22" s="33"/>
      <c r="D22" s="51" t="s">
        <v>10</v>
      </c>
      <c r="E22" s="12">
        <v>0</v>
      </c>
      <c r="F22" s="90"/>
      <c r="G22" s="90"/>
      <c r="H22" s="48" t="s">
        <v>58</v>
      </c>
      <c r="I22" s="21" t="str">
        <f>IF(ISBLANK(AW34),"TBD",AW34)</f>
        <v>TBD</v>
      </c>
      <c r="J22" s="24" t="s">
        <v>26</v>
      </c>
      <c r="K22" s="86"/>
      <c r="L22" s="106"/>
      <c r="M22" s="186"/>
      <c r="N22" s="96" t="str">
        <f t="shared" si="0"/>
        <v>Participant #06</v>
      </c>
      <c r="O22" s="96" t="str">
        <f t="shared" si="1"/>
        <v/>
      </c>
      <c r="P22" s="156"/>
      <c r="Q22" s="8" t="str" cm="1">
        <f t="array" ref="Q22">IFERROR(INDEX($N$17:$N$48,SMALL($O$17:$O$48,ROW(B10))),"-")</f>
        <v>-</v>
      </c>
      <c r="R22" s="10"/>
      <c r="S22" s="158"/>
      <c r="T22" s="86"/>
      <c r="U22" s="158"/>
      <c r="V22" s="162"/>
      <c r="W22" s="8" t="str">
        <f>IF(ISBLANK($R$37),"F1",$R$37)</f>
        <v>F1</v>
      </c>
      <c r="X22" s="54"/>
      <c r="Y22" s="158"/>
      <c r="Z22" s="86"/>
      <c r="AA22" s="158"/>
      <c r="AB22" s="162"/>
      <c r="AC22" s="8" t="str">
        <f>IF(ISBLANK($X$29),"L1",$X$29)</f>
        <v>L1</v>
      </c>
      <c r="AD22" s="54"/>
      <c r="AE22" s="158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106"/>
      <c r="AS22" s="86"/>
      <c r="AT22" s="86"/>
      <c r="AU22" s="86"/>
      <c r="AV22" s="86"/>
      <c r="AW22" s="86"/>
      <c r="AX22" s="86"/>
      <c r="AY22" s="86"/>
      <c r="AZ22" s="31"/>
      <c r="BA22" s="108"/>
      <c r="BE22" s="94"/>
    </row>
    <row r="23" spans="1:57" s="76" customFormat="1" ht="24.95" customHeight="1" x14ac:dyDescent="0.2">
      <c r="A23" s="104" t="s">
        <v>162</v>
      </c>
      <c r="B23" s="111"/>
      <c r="C23" s="33"/>
      <c r="D23" s="51" t="s">
        <v>11</v>
      </c>
      <c r="E23" s="12">
        <v>0</v>
      </c>
      <c r="F23" s="90"/>
      <c r="G23" s="90"/>
      <c r="H23" s="48" t="s">
        <v>58</v>
      </c>
      <c r="I23" s="21" t="str">
        <f>IF(ISBLANK(AJ66),"TBD",AJ66)</f>
        <v>TBD</v>
      </c>
      <c r="J23" s="24" t="s">
        <v>27</v>
      </c>
      <c r="K23" s="86"/>
      <c r="L23" s="106"/>
      <c r="M23" s="186"/>
      <c r="N23" s="96" t="str">
        <f t="shared" si="0"/>
        <v>Participant #07</v>
      </c>
      <c r="O23" s="96" t="str">
        <f t="shared" si="1"/>
        <v/>
      </c>
      <c r="P23" s="156"/>
      <c r="Q23" s="8" t="str" cm="1">
        <f t="array" ref="Q23">IFERROR(INDEX($N$17:$N$48,SMALL($O$17:$O$48,ROW(B18))),"-")</f>
        <v>-</v>
      </c>
      <c r="R23" s="4"/>
      <c r="S23" s="158"/>
      <c r="T23" s="86"/>
      <c r="U23" s="158"/>
      <c r="V23" s="162"/>
      <c r="W23" s="8" t="str">
        <f>IF(ISBLANK($R$26),"C2",$R$26)</f>
        <v>C2</v>
      </c>
      <c r="X23" s="79"/>
      <c r="Y23" s="158"/>
      <c r="Z23" s="86"/>
      <c r="AA23" s="158"/>
      <c r="AB23" s="162"/>
      <c r="AC23" s="8" t="str">
        <f>IF(ISBLANK($X$18),"I2",$X$18)</f>
        <v>I2</v>
      </c>
      <c r="AD23" s="79"/>
      <c r="AE23" s="158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106"/>
      <c r="AS23" s="86"/>
      <c r="AT23" s="86"/>
      <c r="AU23" s="86"/>
      <c r="AV23" s="86"/>
      <c r="AW23" s="86"/>
      <c r="AX23" s="86"/>
      <c r="AY23" s="86"/>
      <c r="AZ23" s="31"/>
      <c r="BA23" s="108"/>
      <c r="BE23" s="94"/>
    </row>
    <row r="24" spans="1:57" s="76" customFormat="1" ht="24.95" customHeight="1" x14ac:dyDescent="0.2">
      <c r="A24" s="104" t="s">
        <v>163</v>
      </c>
      <c r="B24" s="111"/>
      <c r="C24" s="33"/>
      <c r="D24" s="51" t="s">
        <v>12</v>
      </c>
      <c r="E24" s="12">
        <v>0</v>
      </c>
      <c r="F24" s="90"/>
      <c r="G24" s="90"/>
      <c r="H24" s="48" t="s">
        <v>58</v>
      </c>
      <c r="I24" s="21" t="str">
        <f>IF(ISBLANK(AJ70),"TBD",AJ70)</f>
        <v>TBD</v>
      </c>
      <c r="J24" s="24" t="s">
        <v>27</v>
      </c>
      <c r="K24" s="86"/>
      <c r="L24" s="106"/>
      <c r="M24" s="186"/>
      <c r="N24" s="96" t="str">
        <f t="shared" si="0"/>
        <v>Participant #08</v>
      </c>
      <c r="O24" s="96" t="str">
        <f t="shared" si="1"/>
        <v/>
      </c>
      <c r="P24" s="164"/>
      <c r="Q24" s="9" t="str" cm="1">
        <f t="array" ref="Q24">IFERROR(INDEX($N$17:$N$48,SMALL($O$17:$O$48,ROW(B26))),"-")</f>
        <v>-</v>
      </c>
      <c r="R24" s="5"/>
      <c r="S24" s="158"/>
      <c r="T24" s="86"/>
      <c r="U24" s="158"/>
      <c r="V24" s="163"/>
      <c r="W24" s="9" t="str">
        <f>IF(ISBLANK($R$42),"G2",$R$42)</f>
        <v>G2</v>
      </c>
      <c r="X24" s="55"/>
      <c r="Y24" s="158"/>
      <c r="Z24" s="86"/>
      <c r="AA24" s="160"/>
      <c r="AB24" s="163"/>
      <c r="AC24" s="9" t="str">
        <f>IF(ISBLANK($X$26),"K2",$X$26)</f>
        <v>K2</v>
      </c>
      <c r="AD24" s="55"/>
      <c r="AE24" s="160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106"/>
      <c r="AS24" s="86"/>
      <c r="AT24" s="86"/>
      <c r="AU24" s="86"/>
      <c r="AV24" s="86"/>
      <c r="AW24" s="86"/>
      <c r="AX24" s="86"/>
      <c r="AY24" s="86"/>
      <c r="AZ24" s="31"/>
      <c r="BA24" s="108"/>
      <c r="BE24" s="94"/>
    </row>
    <row r="25" spans="1:57" s="76" customFormat="1" ht="24.95" customHeight="1" x14ac:dyDescent="0.2">
      <c r="A25" s="104" t="s">
        <v>61</v>
      </c>
      <c r="B25" s="111"/>
      <c r="C25" s="33"/>
      <c r="D25" s="51" t="s">
        <v>13</v>
      </c>
      <c r="E25" s="12">
        <v>0</v>
      </c>
      <c r="F25" s="90"/>
      <c r="G25" s="90"/>
      <c r="H25" s="48" t="s">
        <v>58</v>
      </c>
      <c r="I25" s="21" t="str">
        <f>IF(ISBLANK($AD$65),"TBD",$AD$65)</f>
        <v>TBD</v>
      </c>
      <c r="J25" s="24" t="s">
        <v>28</v>
      </c>
      <c r="K25" s="86"/>
      <c r="L25" s="106"/>
      <c r="M25" s="186"/>
      <c r="N25" s="96" t="str">
        <f t="shared" si="0"/>
        <v>Participant #09</v>
      </c>
      <c r="O25" s="96" t="str">
        <f t="shared" si="1"/>
        <v/>
      </c>
      <c r="P25" s="155" t="s">
        <v>34</v>
      </c>
      <c r="Q25" s="7" t="str" cm="1">
        <f t="array" ref="Q25">IFERROR(INDEX($N$17:$N$48,SMALL($O$17:$O$48,ROW(B3))),"-")</f>
        <v>-</v>
      </c>
      <c r="R25" s="3"/>
      <c r="S25" s="158"/>
      <c r="T25" s="86"/>
      <c r="U25" s="158"/>
      <c r="V25" s="165" t="s">
        <v>55</v>
      </c>
      <c r="W25" s="8" t="str">
        <f>IF(ISBLANK($R$25),"C1",$R$25)</f>
        <v>C1</v>
      </c>
      <c r="X25" s="53"/>
      <c r="Y25" s="158"/>
      <c r="Z25" s="86"/>
      <c r="AA25" s="80"/>
      <c r="AB25" s="81"/>
      <c r="AC25" s="81"/>
      <c r="AD25" s="81"/>
      <c r="AE25" s="82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106"/>
      <c r="AS25" s="86"/>
      <c r="AT25" s="144" t="s">
        <v>51</v>
      </c>
      <c r="AU25" s="145"/>
      <c r="AV25" s="145"/>
      <c r="AW25" s="145"/>
      <c r="AX25" s="145"/>
      <c r="AY25" s="146"/>
      <c r="AZ25" s="31"/>
      <c r="BA25" s="108"/>
      <c r="BE25" s="94"/>
    </row>
    <row r="26" spans="1:57" s="76" customFormat="1" ht="24.95" customHeight="1" x14ac:dyDescent="0.2">
      <c r="A26" s="104" t="s">
        <v>164</v>
      </c>
      <c r="B26" s="111"/>
      <c r="C26" s="33"/>
      <c r="D26" s="51" t="s">
        <v>14</v>
      </c>
      <c r="E26" s="12">
        <v>0</v>
      </c>
      <c r="F26" s="90"/>
      <c r="G26" s="90"/>
      <c r="H26" s="48" t="s">
        <v>58</v>
      </c>
      <c r="I26" s="21" t="str">
        <f>IF(ISBLANK(AD69),"TBD",AD69)</f>
        <v>TBD</v>
      </c>
      <c r="J26" s="24" t="s">
        <v>28</v>
      </c>
      <c r="K26" s="86"/>
      <c r="L26" s="106"/>
      <c r="M26" s="186"/>
      <c r="N26" s="96" t="str">
        <f t="shared" si="0"/>
        <v>Participant #10</v>
      </c>
      <c r="O26" s="96" t="str">
        <f t="shared" si="1"/>
        <v/>
      </c>
      <c r="P26" s="156"/>
      <c r="Q26" s="8" t="str" cm="1">
        <f t="array" ref="Q26">IFERROR(INDEX($N$17:$N$48,SMALL($O$17:$O$48,ROW(B11))),"-")</f>
        <v>-</v>
      </c>
      <c r="R26" s="10"/>
      <c r="S26" s="158"/>
      <c r="T26" s="86"/>
      <c r="U26" s="158"/>
      <c r="V26" s="166"/>
      <c r="W26" s="8" t="str">
        <f>IF(ISBLANK($R$41),"G1",$R$41)</f>
        <v>G1</v>
      </c>
      <c r="X26" s="54"/>
      <c r="Y26" s="158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106"/>
      <c r="AS26" s="86"/>
      <c r="AT26" s="147"/>
      <c r="AU26" s="148"/>
      <c r="AV26" s="148"/>
      <c r="AW26" s="148"/>
      <c r="AX26" s="148"/>
      <c r="AY26" s="149"/>
      <c r="AZ26" s="31"/>
      <c r="BA26" s="108"/>
      <c r="BE26" s="94"/>
    </row>
    <row r="27" spans="1:57" s="76" customFormat="1" ht="24.95" customHeight="1" x14ac:dyDescent="0.2">
      <c r="A27" s="104" t="s">
        <v>165</v>
      </c>
      <c r="B27" s="111"/>
      <c r="C27" s="33"/>
      <c r="D27" s="51" t="s">
        <v>15</v>
      </c>
      <c r="E27" s="12">
        <v>0</v>
      </c>
      <c r="F27" s="90"/>
      <c r="G27" s="90"/>
      <c r="H27" s="48" t="s">
        <v>58</v>
      </c>
      <c r="I27" s="21" t="str">
        <f>IF(ISBLANK($AD$73),"TBD",$AD$73)</f>
        <v>TBD</v>
      </c>
      <c r="J27" s="24" t="s">
        <v>28</v>
      </c>
      <c r="K27" s="86"/>
      <c r="L27" s="106"/>
      <c r="M27" s="186"/>
      <c r="N27" s="96" t="str">
        <f t="shared" si="0"/>
        <v>Participant #11</v>
      </c>
      <c r="O27" s="96" t="str">
        <f t="shared" si="1"/>
        <v/>
      </c>
      <c r="P27" s="156"/>
      <c r="Q27" s="8" t="str" cm="1">
        <f t="array" ref="Q27">IFERROR(INDEX($N$17:$N$48,SMALL($O$17:$O$48,ROW(B19))),"-")</f>
        <v>-</v>
      </c>
      <c r="R27" s="4"/>
      <c r="S27" s="158"/>
      <c r="T27" s="86"/>
      <c r="U27" s="158"/>
      <c r="V27" s="166"/>
      <c r="W27" s="8" t="str">
        <f>IF(ISBLANK($R$30),"D2",$R$30)</f>
        <v>D2</v>
      </c>
      <c r="X27" s="79"/>
      <c r="Y27" s="158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106"/>
      <c r="AS27" s="86"/>
      <c r="AT27" s="150"/>
      <c r="AU27" s="151"/>
      <c r="AV27" s="151"/>
      <c r="AW27" s="151"/>
      <c r="AX27" s="151"/>
      <c r="AY27" s="152"/>
      <c r="AZ27" s="31"/>
      <c r="BA27" s="108"/>
      <c r="BE27" s="94"/>
    </row>
    <row r="28" spans="1:57" s="76" customFormat="1" ht="24.95" customHeight="1" x14ac:dyDescent="0.2">
      <c r="A28" s="104" t="s">
        <v>166</v>
      </c>
      <c r="B28" s="111"/>
      <c r="C28" s="33"/>
      <c r="D28" s="51" t="s">
        <v>16</v>
      </c>
      <c r="E28" s="12">
        <v>0</v>
      </c>
      <c r="F28" s="90"/>
      <c r="G28" s="90"/>
      <c r="H28" s="48" t="s">
        <v>58</v>
      </c>
      <c r="I28" s="21" t="str">
        <f>IF(ISBLANK($AD$66),"TBD",$AD$66)</f>
        <v>TBD</v>
      </c>
      <c r="J28" s="24" t="s">
        <v>130</v>
      </c>
      <c r="K28" s="86"/>
      <c r="L28" s="106"/>
      <c r="M28" s="186"/>
      <c r="N28" s="96" t="str">
        <f t="shared" si="0"/>
        <v>Participant #12</v>
      </c>
      <c r="O28" s="96" t="str">
        <f t="shared" si="1"/>
        <v/>
      </c>
      <c r="P28" s="164"/>
      <c r="Q28" s="9" t="str" cm="1">
        <f t="array" ref="Q28">IFERROR(INDEX($N$17:$N$48,SMALL($O$17:$O$48,ROW(B27))),"-")</f>
        <v>-</v>
      </c>
      <c r="R28" s="5"/>
      <c r="S28" s="158"/>
      <c r="T28" s="86"/>
      <c r="U28" s="158"/>
      <c r="V28" s="167"/>
      <c r="W28" s="8" t="str">
        <f>IF(ISBLANK($R$46),"H2",$R$46)</f>
        <v>H2</v>
      </c>
      <c r="X28" s="55"/>
      <c r="Y28" s="158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106"/>
      <c r="AS28" s="86"/>
      <c r="AT28" s="60"/>
      <c r="AU28" s="58"/>
      <c r="AV28" s="58"/>
      <c r="AW28" s="58"/>
      <c r="AX28" s="58"/>
      <c r="AY28" s="59"/>
      <c r="AZ28" s="31"/>
      <c r="BA28" s="108"/>
      <c r="BE28" s="94"/>
    </row>
    <row r="29" spans="1:57" s="76" customFormat="1" ht="24.95" customHeight="1" x14ac:dyDescent="0.3">
      <c r="A29" s="104" t="s">
        <v>167</v>
      </c>
      <c r="B29" s="111"/>
      <c r="C29" s="33"/>
      <c r="D29" s="21" t="s">
        <v>17</v>
      </c>
      <c r="E29" s="12">
        <v>0</v>
      </c>
      <c r="F29" s="90"/>
      <c r="G29" s="90"/>
      <c r="H29" s="48" t="s">
        <v>58</v>
      </c>
      <c r="I29" s="21" t="str">
        <f>IF(ISBLANK($AD$70),"TBD",$AD$70)</f>
        <v>TBD</v>
      </c>
      <c r="J29" s="24" t="s">
        <v>130</v>
      </c>
      <c r="K29" s="86"/>
      <c r="L29" s="106"/>
      <c r="M29" s="186"/>
      <c r="N29" s="96" t="str">
        <f t="shared" si="0"/>
        <v>Participant #13</v>
      </c>
      <c r="O29" s="96" t="str">
        <f t="shared" si="1"/>
        <v/>
      </c>
      <c r="P29" s="155" t="s">
        <v>35</v>
      </c>
      <c r="Q29" s="7" t="str" cm="1">
        <f t="array" ref="Q29">IFERROR(INDEX($N$17:$N$48,SMALL($O$17:$O$48,ROW(B4))),"-")</f>
        <v>-</v>
      </c>
      <c r="R29" s="3"/>
      <c r="S29" s="158"/>
      <c r="T29" s="86"/>
      <c r="U29" s="158"/>
      <c r="V29" s="165" t="s">
        <v>56</v>
      </c>
      <c r="W29" s="7" t="str">
        <f>IF(ISBLANK($R$29),"D1",$R$29)</f>
        <v>D1</v>
      </c>
      <c r="X29" s="53"/>
      <c r="Y29" s="158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106"/>
      <c r="AS29" s="86"/>
      <c r="AT29" s="61"/>
      <c r="AU29" s="2">
        <v>6</v>
      </c>
      <c r="AV29" s="66" t="s">
        <v>29</v>
      </c>
      <c r="AW29" s="66"/>
      <c r="AX29" s="67"/>
      <c r="AY29" s="61"/>
      <c r="AZ29" s="31"/>
      <c r="BA29" s="108"/>
      <c r="BE29" s="94"/>
    </row>
    <row r="30" spans="1:57" s="76" customFormat="1" ht="24.95" customHeight="1" x14ac:dyDescent="0.2">
      <c r="A30" s="104" t="s">
        <v>168</v>
      </c>
      <c r="B30" s="111"/>
      <c r="C30" s="33"/>
      <c r="D30" s="51" t="s">
        <v>18</v>
      </c>
      <c r="E30" s="12">
        <v>0</v>
      </c>
      <c r="F30" s="90"/>
      <c r="G30" s="90"/>
      <c r="H30" s="48" t="s">
        <v>58</v>
      </c>
      <c r="I30" s="21" t="str">
        <f>IF(ISBLANK($AD$74),"TBD",$AD$74)</f>
        <v>TBD</v>
      </c>
      <c r="J30" s="24" t="s">
        <v>130</v>
      </c>
      <c r="K30" s="86"/>
      <c r="L30" s="106"/>
      <c r="M30" s="186"/>
      <c r="N30" s="96" t="str">
        <f t="shared" si="0"/>
        <v>Participant #14</v>
      </c>
      <c r="O30" s="96" t="str">
        <f t="shared" si="1"/>
        <v/>
      </c>
      <c r="P30" s="156"/>
      <c r="Q30" s="8" t="str" cm="1">
        <f t="array" ref="Q30">IFERROR(INDEX($N$17:$N$48,SMALL($O$17:$O$48,ROW(B12))),"-")</f>
        <v>-</v>
      </c>
      <c r="R30" s="10"/>
      <c r="S30" s="158"/>
      <c r="T30" s="86"/>
      <c r="U30" s="158"/>
      <c r="V30" s="166"/>
      <c r="W30" s="8" t="str">
        <f>IF(ISBLANK($R$45),"H1",$R$45)</f>
        <v>H1</v>
      </c>
      <c r="X30" s="54"/>
      <c r="Y30" s="158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106"/>
      <c r="AS30" s="86"/>
      <c r="AT30" s="62"/>
      <c r="AU30" s="1" t="s">
        <v>30</v>
      </c>
      <c r="AV30" s="11" t="s">
        <v>1</v>
      </c>
      <c r="AW30" s="11" t="s">
        <v>31</v>
      </c>
      <c r="AX30" s="1" t="s">
        <v>57</v>
      </c>
      <c r="AY30" s="62"/>
      <c r="AZ30" s="31"/>
      <c r="BA30" s="108"/>
      <c r="BE30" s="94"/>
    </row>
    <row r="31" spans="1:57" s="76" customFormat="1" ht="24.95" customHeight="1" x14ac:dyDescent="0.25">
      <c r="A31" s="104" t="s">
        <v>169</v>
      </c>
      <c r="B31" s="111"/>
      <c r="C31" s="33"/>
      <c r="D31" s="51" t="s">
        <v>100</v>
      </c>
      <c r="E31" s="12">
        <v>0</v>
      </c>
      <c r="F31" s="90"/>
      <c r="G31" s="90"/>
      <c r="H31" s="48" t="s">
        <v>58</v>
      </c>
      <c r="I31" s="21" t="str">
        <f>IF(ISBLANK($X$65),"TBD",$X$65)</f>
        <v>TBD</v>
      </c>
      <c r="J31" s="24" t="s">
        <v>129</v>
      </c>
      <c r="K31" s="97"/>
      <c r="L31" s="106"/>
      <c r="M31" s="186"/>
      <c r="N31" s="96" t="str">
        <f t="shared" si="0"/>
        <v>Participant #15</v>
      </c>
      <c r="O31" s="96" t="str">
        <f t="shared" si="1"/>
        <v/>
      </c>
      <c r="P31" s="156"/>
      <c r="Q31" s="8" t="str" cm="1">
        <f t="array" ref="Q31">IFERROR(INDEX($N$17:$N$48,SMALL($O$17:$O$48,ROW(B20))),"-")</f>
        <v>-</v>
      </c>
      <c r="R31" s="4"/>
      <c r="S31" s="158"/>
      <c r="T31" s="86"/>
      <c r="U31" s="158"/>
      <c r="V31" s="166"/>
      <c r="W31" s="8" t="str">
        <f>IF(ISBLANK($R$18),"A2",$R$18)</f>
        <v>A2</v>
      </c>
      <c r="X31" s="79"/>
      <c r="Y31" s="158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106"/>
      <c r="AS31" s="86"/>
      <c r="AT31" s="62"/>
      <c r="AU31" s="130" t="s">
        <v>54</v>
      </c>
      <c r="AV31" s="15" t="str">
        <f>IF(ISBLANK($AP$65),"LF3",$AP$65)</f>
        <v>LF3</v>
      </c>
      <c r="AW31" s="18"/>
      <c r="AX31" s="38">
        <v>0</v>
      </c>
      <c r="AY31" s="64"/>
      <c r="AZ31" s="31"/>
      <c r="BA31" s="108"/>
      <c r="BE31" s="94"/>
    </row>
    <row r="32" spans="1:57" s="76" customFormat="1" ht="24.95" customHeight="1" x14ac:dyDescent="0.25">
      <c r="A32" s="104" t="s">
        <v>170</v>
      </c>
      <c r="B32" s="111"/>
      <c r="C32" s="33"/>
      <c r="D32" s="51" t="s">
        <v>101</v>
      </c>
      <c r="E32" s="12">
        <v>0</v>
      </c>
      <c r="F32" s="90"/>
      <c r="G32" s="90"/>
      <c r="H32" s="48" t="s">
        <v>58</v>
      </c>
      <c r="I32" s="21" t="str">
        <f>IF(ISBLANK($X$69),"TBD",$X$69)</f>
        <v>TBD</v>
      </c>
      <c r="J32" s="24" t="s">
        <v>129</v>
      </c>
      <c r="K32" s="97"/>
      <c r="L32" s="106"/>
      <c r="M32" s="186"/>
      <c r="N32" s="96" t="str">
        <f t="shared" si="0"/>
        <v>Participant #16</v>
      </c>
      <c r="O32" s="96" t="str">
        <f t="shared" si="1"/>
        <v/>
      </c>
      <c r="P32" s="164"/>
      <c r="Q32" s="9" t="str" cm="1">
        <f t="array" ref="Q32">IFERROR(INDEX($N$17:$N$48,SMALL($O$17:$O$48,ROW(B28))),"-")</f>
        <v>-</v>
      </c>
      <c r="R32" s="5"/>
      <c r="S32" s="158"/>
      <c r="T32" s="86"/>
      <c r="U32" s="160"/>
      <c r="V32" s="166"/>
      <c r="W32" s="9" t="str">
        <f>IF(ISBLANK($R$34),"E2",$R$34)</f>
        <v>E2</v>
      </c>
      <c r="X32" s="79"/>
      <c r="Y32" s="160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106"/>
      <c r="AS32" s="86"/>
      <c r="AT32" s="62"/>
      <c r="AU32" s="131"/>
      <c r="AV32" s="16" t="str">
        <f>IF(ISBLANK($AP$66),"LF4",$AP$66)</f>
        <v>LF4</v>
      </c>
      <c r="AW32" s="19"/>
      <c r="AX32" s="39">
        <v>0</v>
      </c>
      <c r="AY32" s="64"/>
      <c r="AZ32" s="31"/>
      <c r="BA32" s="108"/>
      <c r="BE32" s="94"/>
    </row>
    <row r="33" spans="1:57" s="76" customFormat="1" ht="24.95" customHeight="1" x14ac:dyDescent="0.25">
      <c r="A33" s="104" t="s">
        <v>62</v>
      </c>
      <c r="B33" s="111"/>
      <c r="C33" s="33"/>
      <c r="D33" s="51" t="s">
        <v>102</v>
      </c>
      <c r="E33" s="12">
        <v>0</v>
      </c>
      <c r="F33" s="90"/>
      <c r="G33" s="90"/>
      <c r="H33" s="48" t="s">
        <v>58</v>
      </c>
      <c r="I33" s="21" t="str">
        <f>IF(ISBLANK($X$73),"TBD",$X$73)</f>
        <v>TBD</v>
      </c>
      <c r="J33" s="24" t="s">
        <v>129</v>
      </c>
      <c r="K33" s="97"/>
      <c r="L33" s="106"/>
      <c r="M33" s="186"/>
      <c r="N33" s="96" t="str">
        <f t="shared" si="0"/>
        <v>Participant #17</v>
      </c>
      <c r="O33" s="96" t="str">
        <f t="shared" si="1"/>
        <v/>
      </c>
      <c r="P33" s="155" t="s">
        <v>37</v>
      </c>
      <c r="Q33" s="7" t="str" cm="1">
        <f t="array" ref="Q33">IFERROR(INDEX($N$17:$N$48,SMALL($O$17:$O$48,ROW(B5))),"-")</f>
        <v>-</v>
      </c>
      <c r="R33" s="3"/>
      <c r="S33" s="158"/>
      <c r="T33" s="86"/>
      <c r="U33" s="142"/>
      <c r="V33" s="143"/>
      <c r="W33" s="143"/>
      <c r="X33" s="143"/>
      <c r="Y33" s="159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106"/>
      <c r="AS33" s="86"/>
      <c r="AT33" s="62"/>
      <c r="AU33" s="131"/>
      <c r="AV33" s="16" t="str">
        <f>IF(ISBLANK($AJ$65),"Z3",$AJ$65)</f>
        <v>Z3</v>
      </c>
      <c r="AW33" s="20"/>
      <c r="AX33" s="40">
        <v>0</v>
      </c>
      <c r="AY33" s="64"/>
      <c r="AZ33" s="31"/>
      <c r="BA33" s="108"/>
      <c r="BE33" s="94"/>
    </row>
    <row r="34" spans="1:57" s="76" customFormat="1" ht="24.95" customHeight="1" x14ac:dyDescent="0.25">
      <c r="A34" s="104" t="s">
        <v>85</v>
      </c>
      <c r="B34" s="111"/>
      <c r="C34" s="33"/>
      <c r="D34" s="51" t="s">
        <v>103</v>
      </c>
      <c r="E34" s="12">
        <v>0</v>
      </c>
      <c r="F34" s="90"/>
      <c r="G34" s="90"/>
      <c r="H34" s="48" t="s">
        <v>58</v>
      </c>
      <c r="I34" s="21" t="str">
        <f>IF(ISBLANK($X$77),"TBD",$X$77)</f>
        <v>TBD</v>
      </c>
      <c r="J34" s="24" t="s">
        <v>129</v>
      </c>
      <c r="K34" s="97"/>
      <c r="L34" s="106"/>
      <c r="M34" s="186"/>
      <c r="N34" s="96" t="str">
        <f t="shared" si="0"/>
        <v>Participant #18</v>
      </c>
      <c r="O34" s="96" t="str">
        <f t="shared" si="1"/>
        <v/>
      </c>
      <c r="P34" s="156"/>
      <c r="Q34" s="8" t="str" cm="1">
        <f t="array" ref="Q34">IFERROR(INDEX($N$17:$N$48,SMALL($O$17:$O$48,ROW(B13))),"-")</f>
        <v>-</v>
      </c>
      <c r="R34" s="10"/>
      <c r="S34" s="158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106"/>
      <c r="AS34" s="86"/>
      <c r="AT34" s="63"/>
      <c r="AU34" s="132"/>
      <c r="AV34" s="17" t="str">
        <f>IF(ISBLANK($AJ$69),"AA3",$AJ$69)</f>
        <v>AA3</v>
      </c>
      <c r="AW34" s="6"/>
      <c r="AX34" s="10">
        <v>0</v>
      </c>
      <c r="AY34" s="65"/>
      <c r="AZ34" s="31"/>
      <c r="BA34" s="108"/>
      <c r="BE34" s="94"/>
    </row>
    <row r="35" spans="1:57" s="76" customFormat="1" ht="24.95" customHeight="1" x14ac:dyDescent="0.25">
      <c r="A35" s="104" t="s">
        <v>171</v>
      </c>
      <c r="B35" s="111"/>
      <c r="C35" s="33"/>
      <c r="D35" s="51" t="s">
        <v>104</v>
      </c>
      <c r="E35" s="12">
        <v>0</v>
      </c>
      <c r="F35" s="90"/>
      <c r="G35" s="90"/>
      <c r="H35" s="48" t="s">
        <v>58</v>
      </c>
      <c r="I35" s="21" t="str">
        <f>IF(ISBLANK($X$66),"TBD",$X$66)</f>
        <v>TBD</v>
      </c>
      <c r="J35" s="24" t="s">
        <v>128</v>
      </c>
      <c r="K35" s="97"/>
      <c r="L35" s="106"/>
      <c r="M35" s="186"/>
      <c r="N35" s="96" t="str">
        <f t="shared" si="0"/>
        <v>Participant #19</v>
      </c>
      <c r="O35" s="96" t="str">
        <f t="shared" si="1"/>
        <v/>
      </c>
      <c r="P35" s="156"/>
      <c r="Q35" s="8" t="str" cm="1">
        <f t="array" ref="Q35">IFERROR(INDEX($N$17:$N$48,SMALL($O$17:$O$48,ROW(B21))),"-")</f>
        <v>-</v>
      </c>
      <c r="R35" s="4"/>
      <c r="S35" s="15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106"/>
      <c r="AS35" s="86"/>
      <c r="AT35" s="60"/>
      <c r="AU35" s="58"/>
      <c r="AV35" s="68"/>
      <c r="AW35" s="68"/>
      <c r="AX35" s="68"/>
      <c r="AY35" s="59"/>
      <c r="AZ35" s="31"/>
      <c r="BA35" s="108"/>
      <c r="BE35" s="94"/>
    </row>
    <row r="36" spans="1:57" s="76" customFormat="1" ht="24.95" customHeight="1" x14ac:dyDescent="0.25">
      <c r="A36" s="104" t="s">
        <v>172</v>
      </c>
      <c r="B36" s="111"/>
      <c r="C36" s="33"/>
      <c r="D36" s="51" t="s">
        <v>105</v>
      </c>
      <c r="E36" s="12">
        <v>0</v>
      </c>
      <c r="F36" s="90"/>
      <c r="G36" s="90"/>
      <c r="H36" s="48" t="s">
        <v>58</v>
      </c>
      <c r="I36" s="21" t="str">
        <f>IF(ISBLANK($X$70),"TBD",$X$70)</f>
        <v>TBD</v>
      </c>
      <c r="J36" s="24" t="s">
        <v>128</v>
      </c>
      <c r="K36" s="97"/>
      <c r="L36" s="106"/>
      <c r="M36" s="186"/>
      <c r="N36" s="96" t="str">
        <f t="shared" si="0"/>
        <v>Participant #20</v>
      </c>
      <c r="O36" s="96" t="str">
        <f t="shared" si="1"/>
        <v/>
      </c>
      <c r="P36" s="164"/>
      <c r="Q36" s="9" t="str" cm="1">
        <f t="array" ref="Q36">IFERROR(INDEX($N$17:$N$48,SMALL($O$17:$O$48,ROW(B29))),"-")</f>
        <v>-</v>
      </c>
      <c r="R36" s="5"/>
      <c r="S36" s="158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106"/>
      <c r="AS36" s="86"/>
      <c r="AT36" s="86"/>
      <c r="AU36" s="86"/>
      <c r="AV36" s="86"/>
      <c r="AW36" s="86"/>
      <c r="AX36" s="86"/>
      <c r="AY36" s="86"/>
      <c r="AZ36" s="31"/>
      <c r="BA36" s="108"/>
      <c r="BE36" s="94"/>
    </row>
    <row r="37" spans="1:57" s="76" customFormat="1" ht="24.95" customHeight="1" x14ac:dyDescent="0.25">
      <c r="A37" s="104" t="s">
        <v>173</v>
      </c>
      <c r="B37" s="111"/>
      <c r="C37" s="33"/>
      <c r="D37" s="51" t="s">
        <v>106</v>
      </c>
      <c r="E37" s="12">
        <v>0</v>
      </c>
      <c r="F37" s="90"/>
      <c r="G37" s="90"/>
      <c r="H37" s="48" t="s">
        <v>58</v>
      </c>
      <c r="I37" s="21" t="str">
        <f>IF(ISBLANK($X$74),"TBD",$X$74)</f>
        <v>TBD</v>
      </c>
      <c r="J37" s="24" t="s">
        <v>128</v>
      </c>
      <c r="K37" s="97"/>
      <c r="L37" s="106"/>
      <c r="M37" s="186"/>
      <c r="N37" s="96" t="str">
        <f t="shared" si="0"/>
        <v>Participant #21</v>
      </c>
      <c r="O37" s="96" t="str">
        <f t="shared" si="1"/>
        <v/>
      </c>
      <c r="P37" s="155" t="s">
        <v>38</v>
      </c>
      <c r="Q37" s="7" t="str" cm="1">
        <f t="array" ref="Q37">IFERROR(INDEX($N$17:$N$48,SMALL($O$17:$O$48,ROW(B6))),"-")</f>
        <v>-</v>
      </c>
      <c r="R37" s="3"/>
      <c r="S37" s="158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106"/>
      <c r="AS37" s="86"/>
      <c r="AT37" s="86"/>
      <c r="AU37" s="86"/>
      <c r="AV37" s="86"/>
      <c r="AW37" s="86"/>
      <c r="AX37" s="86"/>
      <c r="AY37" s="86"/>
      <c r="AZ37" s="31"/>
      <c r="BA37" s="108"/>
      <c r="BE37" s="94"/>
    </row>
    <row r="38" spans="1:57" s="76" customFormat="1" ht="24.95" customHeight="1" x14ac:dyDescent="0.25">
      <c r="A38" s="104" t="s">
        <v>174</v>
      </c>
      <c r="B38" s="111"/>
      <c r="C38" s="33"/>
      <c r="D38" s="21" t="s">
        <v>107</v>
      </c>
      <c r="E38" s="71">
        <v>0</v>
      </c>
      <c r="F38" s="90"/>
      <c r="G38" s="90"/>
      <c r="H38" s="48" t="s">
        <v>58</v>
      </c>
      <c r="I38" s="21" t="str">
        <f>IF(ISBLANK($X$78),"TBD",$X$78)</f>
        <v>TBD</v>
      </c>
      <c r="J38" s="24" t="s">
        <v>128</v>
      </c>
      <c r="K38" s="97"/>
      <c r="L38" s="106"/>
      <c r="M38" s="186"/>
      <c r="N38" s="96" t="str">
        <f t="shared" si="0"/>
        <v>Participant #22</v>
      </c>
      <c r="O38" s="96" t="str">
        <f t="shared" si="1"/>
        <v/>
      </c>
      <c r="P38" s="156"/>
      <c r="Q38" s="8" t="str" cm="1">
        <f t="array" ref="Q38">IFERROR(INDEX($N$17:$N$48,SMALL($O$17:$O$48,ROW(B14))),"-")</f>
        <v>-</v>
      </c>
      <c r="R38" s="10"/>
      <c r="S38" s="158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77"/>
      <c r="AK38" s="86"/>
      <c r="AL38" s="86"/>
      <c r="AM38" s="86"/>
      <c r="AN38" s="86"/>
      <c r="AO38" s="86"/>
      <c r="AP38" s="86"/>
      <c r="AQ38" s="86"/>
      <c r="AR38" s="106"/>
      <c r="AS38" s="86"/>
      <c r="AT38" s="86"/>
      <c r="AU38" s="86"/>
      <c r="AV38" s="86"/>
      <c r="AW38" s="86"/>
      <c r="AX38" s="86"/>
      <c r="AY38" s="86"/>
      <c r="AZ38" s="31"/>
      <c r="BA38" s="108"/>
      <c r="BE38" s="94"/>
    </row>
    <row r="39" spans="1:57" s="76" customFormat="1" ht="24.95" customHeight="1" x14ac:dyDescent="0.25">
      <c r="A39" s="104" t="s">
        <v>175</v>
      </c>
      <c r="B39" s="111"/>
      <c r="C39" s="33"/>
      <c r="D39" s="21" t="s">
        <v>118</v>
      </c>
      <c r="E39" s="71">
        <v>0</v>
      </c>
      <c r="F39" s="90"/>
      <c r="G39" s="90"/>
      <c r="H39" s="48" t="s">
        <v>58</v>
      </c>
      <c r="I39" s="21" t="str">
        <f>IF(ISBLANK($R$65),"TBD",$R$65)</f>
        <v>TBD</v>
      </c>
      <c r="J39" s="24" t="s">
        <v>126</v>
      </c>
      <c r="K39" s="97"/>
      <c r="L39" s="106"/>
      <c r="M39" s="186"/>
      <c r="N39" s="96" t="str">
        <f t="shared" si="0"/>
        <v>Participant #23</v>
      </c>
      <c r="O39" s="96" t="str">
        <f t="shared" si="1"/>
        <v/>
      </c>
      <c r="P39" s="156"/>
      <c r="Q39" s="8" t="str" cm="1">
        <f t="array" ref="Q39">IFERROR(INDEX($N$17:$N$48,SMALL($O$17:$O$48,ROW(B22))),"-")</f>
        <v>-</v>
      </c>
      <c r="R39" s="4"/>
      <c r="S39" s="158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106"/>
      <c r="AS39" s="86"/>
      <c r="AT39" s="86"/>
      <c r="AU39" s="86"/>
      <c r="AV39" s="86"/>
      <c r="AW39" s="86"/>
      <c r="AX39" s="86"/>
      <c r="AY39" s="86"/>
      <c r="AZ39" s="31"/>
      <c r="BA39" s="108"/>
      <c r="BE39" s="94"/>
    </row>
    <row r="40" spans="1:57" s="76" customFormat="1" ht="24.95" customHeight="1" x14ac:dyDescent="0.25">
      <c r="A40" s="104" t="s">
        <v>176</v>
      </c>
      <c r="B40" s="111"/>
      <c r="C40" s="33"/>
      <c r="D40" s="21" t="s">
        <v>119</v>
      </c>
      <c r="E40" s="71">
        <v>0</v>
      </c>
      <c r="F40" s="90"/>
      <c r="G40" s="90"/>
      <c r="H40" s="48" t="s">
        <v>58</v>
      </c>
      <c r="I40" s="21" t="str">
        <f>IF(ISBLANK($R$69),"TBD",$R$69)</f>
        <v>TBD</v>
      </c>
      <c r="J40" s="24" t="s">
        <v>126</v>
      </c>
      <c r="K40" s="97"/>
      <c r="L40" s="106"/>
      <c r="M40" s="186"/>
      <c r="N40" s="96" t="str">
        <f t="shared" si="0"/>
        <v>Participant #24</v>
      </c>
      <c r="O40" s="96" t="str">
        <f t="shared" si="1"/>
        <v/>
      </c>
      <c r="P40" s="156"/>
      <c r="Q40" s="9" t="str" cm="1">
        <f t="array" ref="Q40">IFERROR(INDEX($N$17:$N$48,SMALL($O$17:$O$48,ROW(B30))),"-")</f>
        <v>-</v>
      </c>
      <c r="R40" s="4"/>
      <c r="S40" s="158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106"/>
      <c r="AS40" s="86"/>
      <c r="AT40" s="86"/>
      <c r="AU40" s="86"/>
      <c r="AV40" s="86"/>
      <c r="AW40" s="86"/>
      <c r="AX40" s="86"/>
      <c r="AY40" s="86"/>
      <c r="AZ40" s="31"/>
      <c r="BA40" s="108"/>
      <c r="BE40" s="94"/>
    </row>
    <row r="41" spans="1:57" s="76" customFormat="1" ht="24.95" customHeight="1" x14ac:dyDescent="0.25">
      <c r="A41" s="104" t="s">
        <v>94</v>
      </c>
      <c r="B41" s="111"/>
      <c r="C41" s="33"/>
      <c r="D41" s="21" t="s">
        <v>120</v>
      </c>
      <c r="E41" s="71">
        <v>0</v>
      </c>
      <c r="F41" s="90"/>
      <c r="G41" s="90"/>
      <c r="H41" s="48" t="s">
        <v>58</v>
      </c>
      <c r="I41" s="21" t="str">
        <f>IF(ISBLANK($R$73),"TBD",$R$73)</f>
        <v>TBD</v>
      </c>
      <c r="J41" s="24" t="s">
        <v>126</v>
      </c>
      <c r="K41" s="97"/>
      <c r="L41" s="106"/>
      <c r="M41" s="186"/>
      <c r="N41" s="96" t="str">
        <f t="shared" si="0"/>
        <v>Participant #25</v>
      </c>
      <c r="O41" s="24" t="str">
        <f t="shared" si="1"/>
        <v/>
      </c>
      <c r="P41" s="161" t="s">
        <v>44</v>
      </c>
      <c r="Q41" s="7" t="str" cm="1">
        <f t="array" ref="Q41">IFERROR(INDEX($N$17:$N$48,SMALL($O$17:$O$48,ROW(B7))),"-")</f>
        <v>-</v>
      </c>
      <c r="R41" s="3"/>
      <c r="S41" s="158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106"/>
      <c r="AS41" s="86"/>
      <c r="AT41" s="86"/>
      <c r="AU41" s="86"/>
      <c r="AV41" s="86"/>
      <c r="AW41" s="86"/>
      <c r="AX41" s="86"/>
      <c r="AY41" s="86"/>
      <c r="AZ41" s="31"/>
      <c r="BA41" s="108"/>
      <c r="BE41" s="94"/>
    </row>
    <row r="42" spans="1:57" s="76" customFormat="1" ht="24.95" customHeight="1" x14ac:dyDescent="0.25">
      <c r="A42" s="104" t="s">
        <v>73</v>
      </c>
      <c r="B42" s="111"/>
      <c r="C42" s="33"/>
      <c r="D42" s="21" t="s">
        <v>121</v>
      </c>
      <c r="E42" s="71">
        <v>0</v>
      </c>
      <c r="F42" s="90"/>
      <c r="G42" s="90"/>
      <c r="H42" s="48" t="s">
        <v>58</v>
      </c>
      <c r="I42" s="21" t="str">
        <f>IF(ISBLANK($R$77),"TBD",$R$77)</f>
        <v>TBD</v>
      </c>
      <c r="J42" s="24" t="s">
        <v>126</v>
      </c>
      <c r="K42" s="97"/>
      <c r="L42" s="106"/>
      <c r="M42" s="186"/>
      <c r="N42" s="96" t="str">
        <f t="shared" si="0"/>
        <v>Participant #26</v>
      </c>
      <c r="O42" s="96" t="str">
        <f t="shared" si="1"/>
        <v/>
      </c>
      <c r="P42" s="156"/>
      <c r="Q42" s="8" t="str" cm="1">
        <f t="array" ref="Q42">IFERROR(INDEX($N$17:$N$48,SMALL($O$17:$O$48,ROW(B15))),"-")</f>
        <v>-</v>
      </c>
      <c r="R42" s="10"/>
      <c r="S42" s="158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106"/>
      <c r="AS42" s="86"/>
      <c r="AT42" s="86"/>
      <c r="AU42" s="86"/>
      <c r="AV42" s="86"/>
      <c r="AW42" s="86"/>
      <c r="AX42" s="86"/>
      <c r="AY42" s="86"/>
      <c r="AZ42" s="31"/>
      <c r="BA42" s="108"/>
      <c r="BE42" s="94"/>
    </row>
    <row r="43" spans="1:57" s="76" customFormat="1" ht="24.95" customHeight="1" x14ac:dyDescent="0.25">
      <c r="A43" s="104" t="s">
        <v>75</v>
      </c>
      <c r="B43" s="111"/>
      <c r="C43" s="33"/>
      <c r="D43" s="21" t="s">
        <v>122</v>
      </c>
      <c r="E43" s="71">
        <v>0</v>
      </c>
      <c r="F43" s="90"/>
      <c r="G43" s="90"/>
      <c r="H43" s="48" t="s">
        <v>58</v>
      </c>
      <c r="I43" s="21" t="str">
        <f>IF(ISBLANK($R$66),"TBD",$R$66)</f>
        <v>TBD</v>
      </c>
      <c r="J43" s="24" t="s">
        <v>127</v>
      </c>
      <c r="K43" s="97"/>
      <c r="L43" s="106"/>
      <c r="M43" s="186"/>
      <c r="N43" s="96" t="str">
        <f t="shared" si="0"/>
        <v>Participant #27</v>
      </c>
      <c r="O43" s="96" t="str">
        <f t="shared" si="1"/>
        <v/>
      </c>
      <c r="P43" s="156"/>
      <c r="Q43" s="8" t="str" cm="1">
        <f t="array" ref="Q43">IFERROR(INDEX($N$17:$N$48,SMALL($O$17:$O$48,ROW(B23))),"-")</f>
        <v>-</v>
      </c>
      <c r="R43" s="4"/>
      <c r="S43" s="158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106"/>
      <c r="AS43" s="86"/>
      <c r="AT43" s="86"/>
      <c r="AU43" s="86"/>
      <c r="AV43" s="86"/>
      <c r="AW43" s="86"/>
      <c r="AX43" s="86"/>
      <c r="AY43" s="86"/>
      <c r="AZ43" s="31"/>
      <c r="BA43" s="108"/>
      <c r="BE43" s="94"/>
    </row>
    <row r="44" spans="1:57" s="76" customFormat="1" ht="24.95" customHeight="1" x14ac:dyDescent="0.25">
      <c r="A44" s="104" t="s">
        <v>82</v>
      </c>
      <c r="B44" s="111"/>
      <c r="C44" s="33"/>
      <c r="D44" s="21" t="s">
        <v>123</v>
      </c>
      <c r="E44" s="71">
        <v>0</v>
      </c>
      <c r="F44" s="90"/>
      <c r="G44" s="90"/>
      <c r="H44" s="48" t="s">
        <v>58</v>
      </c>
      <c r="I44" s="21" t="str">
        <f>IF(ISBLANK($R$70),"TBD",$R$70)</f>
        <v>TBD</v>
      </c>
      <c r="J44" s="24" t="s">
        <v>127</v>
      </c>
      <c r="K44" s="97"/>
      <c r="L44" s="106"/>
      <c r="M44" s="186"/>
      <c r="N44" s="96" t="str">
        <f t="shared" si="0"/>
        <v>Participant #28</v>
      </c>
      <c r="O44" s="96" t="str">
        <f t="shared" si="1"/>
        <v/>
      </c>
      <c r="P44" s="164"/>
      <c r="Q44" s="9" t="str" cm="1">
        <f t="array" ref="Q44">IFERROR(INDEX($N$17:$N$48,SMALL($O$17:$O$48,ROW(B31))),"-")</f>
        <v>-</v>
      </c>
      <c r="R44" s="5"/>
      <c r="S44" s="158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106"/>
      <c r="AS44" s="86"/>
      <c r="AT44" s="86"/>
      <c r="AU44" s="86"/>
      <c r="AV44" s="86"/>
      <c r="AW44" s="86"/>
      <c r="AX44" s="86"/>
      <c r="AY44" s="86"/>
      <c r="AZ44" s="31"/>
      <c r="BA44" s="108"/>
      <c r="BE44" s="94"/>
    </row>
    <row r="45" spans="1:57" s="76" customFormat="1" ht="24.95" customHeight="1" x14ac:dyDescent="0.25">
      <c r="A45" s="104" t="s">
        <v>81</v>
      </c>
      <c r="B45" s="111"/>
      <c r="C45" s="33"/>
      <c r="D45" s="21" t="s">
        <v>124</v>
      </c>
      <c r="E45" s="71">
        <v>0</v>
      </c>
      <c r="F45" s="90"/>
      <c r="G45" s="90"/>
      <c r="H45" s="48" t="s">
        <v>58</v>
      </c>
      <c r="I45" s="21" t="str">
        <f>IF(ISBLANK($R$74),"TBD",$R$74)</f>
        <v>TBD</v>
      </c>
      <c r="J45" s="24" t="s">
        <v>127</v>
      </c>
      <c r="K45" s="97"/>
      <c r="L45" s="106"/>
      <c r="M45" s="186"/>
      <c r="N45" s="96" t="str">
        <f t="shared" si="0"/>
        <v>Participant #29</v>
      </c>
      <c r="O45" s="96" t="str">
        <f t="shared" si="1"/>
        <v/>
      </c>
      <c r="P45" s="155" t="s">
        <v>45</v>
      </c>
      <c r="Q45" s="7" t="str" cm="1">
        <f t="array" ref="Q45">IFERROR(INDEX($N$17:$N$48,SMALL($O$17:$O$48,ROW(B8))),"-")</f>
        <v>-</v>
      </c>
      <c r="R45" s="3"/>
      <c r="S45" s="158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106"/>
      <c r="AS45" s="86"/>
      <c r="AT45" s="86"/>
      <c r="AU45" s="86"/>
      <c r="AV45" s="86"/>
      <c r="AW45" s="86"/>
      <c r="AX45" s="86"/>
      <c r="AY45" s="86"/>
      <c r="AZ45" s="31"/>
      <c r="BA45" s="108"/>
      <c r="BE45" s="94"/>
    </row>
    <row r="46" spans="1:57" s="76" customFormat="1" ht="24.95" customHeight="1" x14ac:dyDescent="0.25">
      <c r="A46" s="104" t="s">
        <v>88</v>
      </c>
      <c r="B46" s="111"/>
      <c r="C46" s="33"/>
      <c r="D46" s="22" t="s">
        <v>125</v>
      </c>
      <c r="E46" s="72">
        <v>0</v>
      </c>
      <c r="F46" s="90"/>
      <c r="G46" s="90"/>
      <c r="H46" s="49" t="s">
        <v>58</v>
      </c>
      <c r="I46" s="22" t="str">
        <f>IF(ISBLANK($R$78),"TBD",$R$78)</f>
        <v>TBD</v>
      </c>
      <c r="J46" s="27" t="s">
        <v>127</v>
      </c>
      <c r="K46" s="97"/>
      <c r="L46" s="106"/>
      <c r="M46" s="186"/>
      <c r="N46" s="96" t="str">
        <f t="shared" si="0"/>
        <v>Participant #30</v>
      </c>
      <c r="O46" s="96" t="str">
        <f t="shared" si="1"/>
        <v/>
      </c>
      <c r="P46" s="156"/>
      <c r="Q46" s="8" t="str" cm="1">
        <f t="array" ref="Q46">IFERROR(INDEX($N$17:$N$48,SMALL($O$17:$O$48,ROW(B16))),"-")</f>
        <v>-</v>
      </c>
      <c r="R46" s="10"/>
      <c r="S46" s="158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106"/>
      <c r="AS46" s="86"/>
      <c r="AT46" s="86"/>
      <c r="AU46" s="86"/>
      <c r="AV46" s="86"/>
      <c r="AW46" s="86"/>
      <c r="AX46" s="86"/>
      <c r="AY46" s="86"/>
      <c r="AZ46" s="31"/>
      <c r="BA46" s="108"/>
      <c r="BE46" s="94"/>
    </row>
    <row r="47" spans="1:57" s="76" customFormat="1" ht="24.95" customHeight="1" x14ac:dyDescent="0.25">
      <c r="A47" s="104" t="s">
        <v>177</v>
      </c>
      <c r="B47" s="111"/>
      <c r="C47" s="33"/>
      <c r="D47" s="99"/>
      <c r="E47" s="90"/>
      <c r="F47" s="90"/>
      <c r="G47" s="90"/>
      <c r="H47" s="90"/>
      <c r="I47" s="90"/>
      <c r="J47" s="90"/>
      <c r="K47" s="97"/>
      <c r="L47" s="106"/>
      <c r="M47" s="186"/>
      <c r="N47" s="96" t="str">
        <f t="shared" si="0"/>
        <v>Participant #31</v>
      </c>
      <c r="O47" s="96" t="str">
        <f t="shared" si="1"/>
        <v/>
      </c>
      <c r="P47" s="156"/>
      <c r="Q47" s="8" t="str" cm="1">
        <f t="array" ref="Q47">IFERROR(INDEX($N$17:$N$48,SMALL($O$17:$O$48,ROW(B24))),"-")</f>
        <v>-</v>
      </c>
      <c r="R47" s="4"/>
      <c r="S47" s="158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106"/>
      <c r="AS47" s="86"/>
      <c r="AT47" s="86"/>
      <c r="AU47" s="86"/>
      <c r="AV47" s="86"/>
      <c r="AW47" s="86"/>
      <c r="AX47" s="86"/>
      <c r="AY47" s="86"/>
      <c r="AZ47" s="31"/>
      <c r="BA47" s="108"/>
      <c r="BE47" s="94"/>
    </row>
    <row r="48" spans="1:57" s="76" customFormat="1" ht="24.95" customHeight="1" x14ac:dyDescent="0.25">
      <c r="A48" s="104" t="s">
        <v>84</v>
      </c>
      <c r="B48" s="111"/>
      <c r="C48" s="33"/>
      <c r="D48" s="99"/>
      <c r="E48" s="90"/>
      <c r="F48" s="90"/>
      <c r="G48" s="90"/>
      <c r="H48" s="90"/>
      <c r="I48" s="90"/>
      <c r="J48" s="90"/>
      <c r="K48" s="97"/>
      <c r="L48" s="106"/>
      <c r="M48" s="187"/>
      <c r="N48" s="96" t="str">
        <f t="shared" si="0"/>
        <v>Participant #32</v>
      </c>
      <c r="O48" s="96" t="str">
        <f t="shared" si="1"/>
        <v/>
      </c>
      <c r="P48" s="156"/>
      <c r="Q48" s="9" t="str" cm="1">
        <f t="array" ref="Q48">IFERROR(INDEX($N$17:$N$48,SMALL($O$17:$O$48,ROW(B32))),"-")</f>
        <v>-</v>
      </c>
      <c r="R48" s="4"/>
      <c r="S48" s="160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106"/>
      <c r="AS48" s="86"/>
      <c r="AT48" s="86"/>
      <c r="AU48" s="86"/>
      <c r="AV48" s="86"/>
      <c r="AW48" s="86"/>
      <c r="AX48" s="86"/>
      <c r="AY48" s="86"/>
      <c r="AZ48" s="31"/>
      <c r="BA48" s="108"/>
      <c r="BE48" s="94"/>
    </row>
    <row r="49" spans="1:57" s="76" customFormat="1" ht="24.95" customHeight="1" x14ac:dyDescent="0.25">
      <c r="A49" s="104" t="s">
        <v>59</v>
      </c>
      <c r="B49" s="111"/>
      <c r="C49" s="33"/>
      <c r="D49" s="99"/>
      <c r="E49" s="90"/>
      <c r="F49" s="90"/>
      <c r="G49" s="90"/>
      <c r="H49" s="90"/>
      <c r="I49" s="90"/>
      <c r="J49" s="90"/>
      <c r="K49" s="97"/>
      <c r="L49" s="106"/>
      <c r="M49" s="143"/>
      <c r="N49" s="143"/>
      <c r="O49" s="143"/>
      <c r="P49" s="143"/>
      <c r="Q49" s="188"/>
      <c r="R49" s="143"/>
      <c r="S49" s="159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106"/>
      <c r="AS49" s="86"/>
      <c r="AT49" s="86"/>
      <c r="AU49" s="86"/>
      <c r="AV49" s="86"/>
      <c r="AW49" s="86"/>
      <c r="AX49" s="86"/>
      <c r="AY49" s="86"/>
      <c r="AZ49" s="31"/>
      <c r="BA49" s="108"/>
      <c r="BE49" s="94"/>
    </row>
    <row r="50" spans="1:57" s="76" customFormat="1" ht="24.95" customHeight="1" x14ac:dyDescent="0.2">
      <c r="A50" s="104" t="s">
        <v>91</v>
      </c>
      <c r="B50" s="111"/>
      <c r="C50" s="32"/>
      <c r="D50" s="86"/>
      <c r="E50" s="89"/>
      <c r="F50" s="90"/>
      <c r="G50" s="89"/>
      <c r="H50" s="90"/>
      <c r="I50" s="90"/>
      <c r="J50" s="90"/>
      <c r="K50" s="86"/>
      <c r="L50" s="10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106"/>
      <c r="AS50" s="86"/>
      <c r="AT50" s="86"/>
      <c r="AU50" s="86"/>
      <c r="AV50" s="86"/>
      <c r="AW50" s="86"/>
      <c r="AX50" s="86"/>
      <c r="AY50" s="86"/>
      <c r="AZ50" s="31"/>
      <c r="BA50" s="108"/>
      <c r="BE50" s="94"/>
    </row>
    <row r="51" spans="1:57" s="76" customFormat="1" ht="24.95" customHeight="1" x14ac:dyDescent="0.2">
      <c r="A51" s="104" t="s">
        <v>58</v>
      </c>
      <c r="B51" s="111"/>
      <c r="C51" s="32"/>
      <c r="D51" s="86"/>
      <c r="E51" s="89"/>
      <c r="F51" s="90"/>
      <c r="G51" s="89"/>
      <c r="H51" s="90"/>
      <c r="I51" s="90"/>
      <c r="J51" s="90"/>
      <c r="K51" s="86"/>
      <c r="L51" s="10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106"/>
      <c r="AS51" s="86"/>
      <c r="AT51" s="86"/>
      <c r="AU51" s="86"/>
      <c r="AV51" s="86"/>
      <c r="AW51" s="86"/>
      <c r="AX51" s="86"/>
      <c r="AY51" s="86"/>
      <c r="AZ51" s="31"/>
      <c r="BA51" s="108"/>
      <c r="BE51" s="94"/>
    </row>
    <row r="52" spans="1:57" s="76" customFormat="1" ht="24.95" customHeight="1" x14ac:dyDescent="0.2">
      <c r="A52" s="104" t="s">
        <v>178</v>
      </c>
      <c r="B52" s="111"/>
      <c r="C52" s="32"/>
      <c r="D52" s="86"/>
      <c r="E52" s="89"/>
      <c r="F52" s="90"/>
      <c r="G52" s="89"/>
      <c r="H52" s="90"/>
      <c r="I52" s="90"/>
      <c r="J52" s="90"/>
      <c r="K52" s="86"/>
      <c r="L52" s="106"/>
      <c r="M52" s="112" t="s">
        <v>41</v>
      </c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4"/>
      <c r="AR52" s="106"/>
      <c r="AS52" s="86"/>
      <c r="AT52" s="86"/>
      <c r="AU52" s="86"/>
      <c r="AV52" s="86"/>
      <c r="AW52" s="86"/>
      <c r="AX52" s="86"/>
      <c r="AY52" s="86"/>
      <c r="AZ52" s="31"/>
      <c r="BA52" s="108"/>
      <c r="BE52" s="94"/>
    </row>
    <row r="53" spans="1:57" s="76" customFormat="1" ht="24.95" customHeight="1" x14ac:dyDescent="0.2">
      <c r="A53" s="104" t="s">
        <v>179</v>
      </c>
      <c r="B53" s="111"/>
      <c r="C53" s="32"/>
      <c r="D53" s="86"/>
      <c r="E53" s="89"/>
      <c r="F53" s="90"/>
      <c r="G53" s="89"/>
      <c r="H53" s="90"/>
      <c r="I53" s="90"/>
      <c r="J53" s="90"/>
      <c r="K53" s="86"/>
      <c r="L53" s="106"/>
      <c r="M53" s="115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7"/>
      <c r="AR53" s="106"/>
      <c r="AS53" s="86"/>
      <c r="AT53" s="86"/>
      <c r="AU53" s="86"/>
      <c r="AV53" s="86"/>
      <c r="AW53" s="86"/>
      <c r="AX53" s="86"/>
      <c r="AY53" s="86"/>
      <c r="AZ53" s="31"/>
      <c r="BA53" s="108"/>
      <c r="BE53" s="94"/>
    </row>
    <row r="54" spans="1:57" s="76" customFormat="1" ht="24.95" customHeight="1" x14ac:dyDescent="0.2">
      <c r="A54" s="104" t="s">
        <v>74</v>
      </c>
      <c r="B54" s="111"/>
      <c r="C54" s="32"/>
      <c r="D54" s="86"/>
      <c r="E54" s="89"/>
      <c r="F54" s="90"/>
      <c r="G54" s="89"/>
      <c r="H54" s="90"/>
      <c r="I54" s="90"/>
      <c r="J54" s="90"/>
      <c r="K54" s="86"/>
      <c r="L54" s="106"/>
      <c r="M54" s="118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20"/>
      <c r="AR54" s="106"/>
      <c r="AS54" s="86"/>
      <c r="AT54" s="86"/>
      <c r="AU54" s="86"/>
      <c r="AV54" s="86"/>
      <c r="AW54" s="86"/>
      <c r="AX54" s="86"/>
      <c r="AY54" s="86"/>
      <c r="AZ54" s="31"/>
      <c r="BA54" s="108"/>
      <c r="BE54" s="94"/>
    </row>
    <row r="55" spans="1:57" s="76" customFormat="1" ht="24.75" customHeight="1" x14ac:dyDescent="0.2">
      <c r="A55" s="104" t="s">
        <v>180</v>
      </c>
      <c r="B55" s="111"/>
      <c r="C55" s="32"/>
      <c r="D55" s="86"/>
      <c r="E55" s="89"/>
      <c r="F55" s="90"/>
      <c r="G55" s="89"/>
      <c r="H55" s="90"/>
      <c r="I55" s="90"/>
      <c r="J55" s="90"/>
      <c r="K55" s="86"/>
      <c r="L55" s="10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106"/>
      <c r="AS55" s="86"/>
      <c r="AT55" s="86"/>
      <c r="AU55" s="86"/>
      <c r="AV55" s="86"/>
      <c r="AW55" s="86"/>
      <c r="AX55" s="86"/>
      <c r="AY55" s="86"/>
      <c r="AZ55" s="31"/>
      <c r="BA55" s="108"/>
      <c r="BE55" s="94"/>
    </row>
    <row r="56" spans="1:57" s="76" customFormat="1" ht="24.95" customHeight="1" x14ac:dyDescent="0.2">
      <c r="A56" s="104" t="s">
        <v>181</v>
      </c>
      <c r="B56" s="111"/>
      <c r="C56" s="32"/>
      <c r="D56" s="86"/>
      <c r="E56" s="89"/>
      <c r="F56" s="90"/>
      <c r="G56" s="89"/>
      <c r="H56" s="90"/>
      <c r="I56" s="90"/>
      <c r="J56" s="90"/>
      <c r="K56" s="86"/>
      <c r="L56" s="10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106"/>
      <c r="AS56" s="86"/>
      <c r="AT56" s="86"/>
      <c r="AU56" s="86"/>
      <c r="AV56" s="86"/>
      <c r="AW56" s="86"/>
      <c r="AX56" s="86"/>
      <c r="AY56" s="86"/>
      <c r="AZ56" s="31"/>
      <c r="BA56" s="108"/>
      <c r="BE56" s="94"/>
    </row>
    <row r="57" spans="1:57" s="76" customFormat="1" ht="24.95" customHeight="1" x14ac:dyDescent="0.2">
      <c r="A57" s="104" t="s">
        <v>182</v>
      </c>
      <c r="B57" s="111"/>
      <c r="C57" s="32"/>
      <c r="D57" s="86"/>
      <c r="E57" s="89"/>
      <c r="F57" s="90"/>
      <c r="G57" s="89"/>
      <c r="H57" s="90"/>
      <c r="I57" s="90"/>
      <c r="J57" s="90"/>
      <c r="K57" s="86"/>
      <c r="L57" s="106"/>
      <c r="M57" s="145" t="s">
        <v>42</v>
      </c>
      <c r="N57" s="145"/>
      <c r="O57" s="145"/>
      <c r="P57" s="145"/>
      <c r="Q57" s="145"/>
      <c r="R57" s="145"/>
      <c r="S57" s="146"/>
      <c r="T57" s="95"/>
      <c r="U57" s="144" t="s">
        <v>46</v>
      </c>
      <c r="V57" s="145"/>
      <c r="W57" s="145"/>
      <c r="X57" s="145"/>
      <c r="Y57" s="146"/>
      <c r="Z57" s="95"/>
      <c r="AA57" s="144" t="s">
        <v>117</v>
      </c>
      <c r="AB57" s="145"/>
      <c r="AC57" s="145"/>
      <c r="AD57" s="145"/>
      <c r="AE57" s="146"/>
      <c r="AF57" s="86"/>
      <c r="AG57" s="144" t="s">
        <v>131</v>
      </c>
      <c r="AH57" s="145"/>
      <c r="AI57" s="145"/>
      <c r="AJ57" s="145"/>
      <c r="AK57" s="146"/>
      <c r="AL57" s="86"/>
      <c r="AM57" s="144" t="s">
        <v>49</v>
      </c>
      <c r="AN57" s="145"/>
      <c r="AO57" s="145"/>
      <c r="AP57" s="145"/>
      <c r="AQ57" s="145"/>
      <c r="AR57" s="106"/>
      <c r="AS57" s="86"/>
      <c r="AT57" s="86"/>
      <c r="AU57" s="86"/>
      <c r="AV57" s="86"/>
      <c r="AW57" s="86"/>
      <c r="AX57" s="86"/>
      <c r="AY57" s="86"/>
      <c r="AZ57" s="31"/>
      <c r="BA57" s="108"/>
      <c r="BE57" s="94"/>
    </row>
    <row r="58" spans="1:57" s="76" customFormat="1" ht="24.95" customHeight="1" x14ac:dyDescent="0.2">
      <c r="A58" s="104" t="s">
        <v>183</v>
      </c>
      <c r="B58" s="111"/>
      <c r="C58" s="32"/>
      <c r="D58" s="86"/>
      <c r="E58" s="89"/>
      <c r="F58" s="90"/>
      <c r="G58" s="89"/>
      <c r="H58" s="90"/>
      <c r="I58" s="90"/>
      <c r="J58" s="90"/>
      <c r="K58" s="86"/>
      <c r="L58" s="106"/>
      <c r="M58" s="148"/>
      <c r="N58" s="148"/>
      <c r="O58" s="148"/>
      <c r="P58" s="148"/>
      <c r="Q58" s="148"/>
      <c r="R58" s="148"/>
      <c r="S58" s="149"/>
      <c r="T58" s="95"/>
      <c r="U58" s="147"/>
      <c r="V58" s="148"/>
      <c r="W58" s="148"/>
      <c r="X58" s="148"/>
      <c r="Y58" s="149"/>
      <c r="Z58" s="95"/>
      <c r="AA58" s="147"/>
      <c r="AB58" s="148"/>
      <c r="AC58" s="148"/>
      <c r="AD58" s="148"/>
      <c r="AE58" s="149"/>
      <c r="AF58" s="86"/>
      <c r="AG58" s="147"/>
      <c r="AH58" s="148"/>
      <c r="AI58" s="148"/>
      <c r="AJ58" s="148"/>
      <c r="AK58" s="149"/>
      <c r="AL58" s="86"/>
      <c r="AM58" s="147"/>
      <c r="AN58" s="148"/>
      <c r="AO58" s="148"/>
      <c r="AP58" s="148"/>
      <c r="AQ58" s="148"/>
      <c r="AR58" s="106"/>
      <c r="AS58" s="86"/>
      <c r="AT58" s="86"/>
      <c r="AU58" s="86"/>
      <c r="AV58" s="86"/>
      <c r="AW58" s="86"/>
      <c r="AX58" s="86"/>
      <c r="AY58" s="86"/>
      <c r="AZ58" s="31"/>
      <c r="BA58" s="108"/>
      <c r="BE58" s="94"/>
    </row>
    <row r="59" spans="1:57" s="76" customFormat="1" ht="24.95" customHeight="1" x14ac:dyDescent="0.2">
      <c r="A59" s="104" t="s">
        <v>184</v>
      </c>
      <c r="B59" s="111"/>
      <c r="C59" s="32"/>
      <c r="D59" s="86"/>
      <c r="E59" s="89"/>
      <c r="F59" s="90"/>
      <c r="G59" s="89"/>
      <c r="H59" s="90"/>
      <c r="I59" s="90"/>
      <c r="J59" s="90"/>
      <c r="K59" s="86"/>
      <c r="L59" s="106"/>
      <c r="M59" s="151"/>
      <c r="N59" s="151"/>
      <c r="O59" s="151"/>
      <c r="P59" s="151"/>
      <c r="Q59" s="151"/>
      <c r="R59" s="151"/>
      <c r="S59" s="152"/>
      <c r="T59" s="95"/>
      <c r="U59" s="150"/>
      <c r="V59" s="151"/>
      <c r="W59" s="151"/>
      <c r="X59" s="151"/>
      <c r="Y59" s="152"/>
      <c r="Z59" s="95"/>
      <c r="AA59" s="150"/>
      <c r="AB59" s="151"/>
      <c r="AC59" s="151"/>
      <c r="AD59" s="151"/>
      <c r="AE59" s="152"/>
      <c r="AF59" s="86"/>
      <c r="AG59" s="150"/>
      <c r="AH59" s="151"/>
      <c r="AI59" s="151"/>
      <c r="AJ59" s="151"/>
      <c r="AK59" s="152"/>
      <c r="AL59" s="86"/>
      <c r="AM59" s="150"/>
      <c r="AN59" s="151"/>
      <c r="AO59" s="151"/>
      <c r="AP59" s="151"/>
      <c r="AQ59" s="151"/>
      <c r="AR59" s="106"/>
      <c r="AS59" s="86"/>
      <c r="AT59" s="86"/>
      <c r="AU59" s="86"/>
      <c r="AV59" s="86"/>
      <c r="AW59" s="86"/>
      <c r="AX59" s="86"/>
      <c r="AY59" s="86"/>
      <c r="AZ59" s="31"/>
      <c r="BA59" s="108"/>
      <c r="BE59" s="94"/>
    </row>
    <row r="60" spans="1:57" s="76" customFormat="1" ht="24.95" customHeight="1" x14ac:dyDescent="0.2">
      <c r="A60" s="104" t="s">
        <v>185</v>
      </c>
      <c r="B60" s="111"/>
      <c r="C60" s="32"/>
      <c r="D60" s="86"/>
      <c r="E60" s="89"/>
      <c r="F60" s="90"/>
      <c r="G60" s="89"/>
      <c r="H60" s="90"/>
      <c r="I60" s="90"/>
      <c r="J60" s="90"/>
      <c r="K60" s="86"/>
      <c r="L60" s="106"/>
      <c r="M60" s="143"/>
      <c r="N60" s="143"/>
      <c r="O60" s="143"/>
      <c r="P60" s="143"/>
      <c r="Q60" s="143"/>
      <c r="R60" s="143"/>
      <c r="S60" s="159"/>
      <c r="T60" s="86"/>
      <c r="U60" s="142"/>
      <c r="V60" s="143"/>
      <c r="W60" s="143"/>
      <c r="X60" s="143"/>
      <c r="Y60" s="159"/>
      <c r="Z60" s="86"/>
      <c r="AA60" s="142"/>
      <c r="AB60" s="143"/>
      <c r="AC60" s="143"/>
      <c r="AD60" s="143"/>
      <c r="AE60" s="159"/>
      <c r="AF60" s="86"/>
      <c r="AG60" s="142"/>
      <c r="AH60" s="143"/>
      <c r="AI60" s="143"/>
      <c r="AJ60" s="143"/>
      <c r="AK60" s="159"/>
      <c r="AL60" s="86"/>
      <c r="AM60" s="142"/>
      <c r="AN60" s="143"/>
      <c r="AO60" s="143"/>
      <c r="AP60" s="143"/>
      <c r="AQ60" s="143"/>
      <c r="AR60" s="106"/>
      <c r="AS60" s="86"/>
      <c r="AT60" s="86"/>
      <c r="AU60" s="86"/>
      <c r="AV60" s="86"/>
      <c r="AW60" s="86"/>
      <c r="AX60" s="86"/>
      <c r="AY60" s="86"/>
      <c r="AZ60" s="31"/>
      <c r="BA60" s="108"/>
      <c r="BE60" s="94"/>
    </row>
    <row r="61" spans="1:57" s="76" customFormat="1" ht="24.95" customHeight="1" x14ac:dyDescent="0.3">
      <c r="A61" s="104" t="s">
        <v>186</v>
      </c>
      <c r="B61" s="111"/>
      <c r="C61" s="32"/>
      <c r="D61" s="86"/>
      <c r="E61" s="89"/>
      <c r="F61" s="90"/>
      <c r="G61" s="89"/>
      <c r="H61" s="90"/>
      <c r="I61" s="90"/>
      <c r="J61" s="90"/>
      <c r="K61" s="86"/>
      <c r="L61" s="106"/>
      <c r="M61" s="157"/>
      <c r="P61" s="13">
        <v>4</v>
      </c>
      <c r="Q61" s="14" t="s">
        <v>29</v>
      </c>
      <c r="R61" s="14"/>
      <c r="S61" s="157"/>
      <c r="T61" s="86"/>
      <c r="U61" s="157"/>
      <c r="V61" s="2">
        <v>4</v>
      </c>
      <c r="W61" s="153" t="s">
        <v>29</v>
      </c>
      <c r="X61" s="154"/>
      <c r="Y61" s="157"/>
      <c r="Z61" s="100"/>
      <c r="AA61" s="157"/>
      <c r="AB61" s="56">
        <v>4</v>
      </c>
      <c r="AC61" s="153" t="s">
        <v>29</v>
      </c>
      <c r="AD61" s="153"/>
      <c r="AE61" s="157"/>
      <c r="AF61" s="86"/>
      <c r="AG61" s="157"/>
      <c r="AH61" s="2">
        <v>4</v>
      </c>
      <c r="AI61" s="153" t="s">
        <v>29</v>
      </c>
      <c r="AJ61" s="154"/>
      <c r="AK61" s="157"/>
      <c r="AL61" s="86"/>
      <c r="AM61" s="78"/>
      <c r="AN61" s="2">
        <v>4</v>
      </c>
      <c r="AO61" s="153" t="s">
        <v>29</v>
      </c>
      <c r="AP61" s="154"/>
      <c r="AQ61" s="74"/>
      <c r="AR61" s="106"/>
      <c r="AS61" s="86"/>
      <c r="AT61" s="86"/>
      <c r="AU61" s="86"/>
      <c r="AV61" s="86"/>
      <c r="AW61" s="86"/>
      <c r="AX61" s="86"/>
      <c r="AY61" s="86"/>
      <c r="AZ61" s="31"/>
      <c r="BA61" s="108"/>
      <c r="BE61" s="94"/>
    </row>
    <row r="62" spans="1:57" s="76" customFormat="1" ht="24.95" customHeight="1" x14ac:dyDescent="0.2">
      <c r="A62" s="104" t="s">
        <v>187</v>
      </c>
      <c r="B62" s="111"/>
      <c r="C62" s="32"/>
      <c r="D62" s="86"/>
      <c r="E62" s="89"/>
      <c r="F62" s="90"/>
      <c r="G62" s="89"/>
      <c r="H62" s="90"/>
      <c r="I62" s="90"/>
      <c r="J62" s="90"/>
      <c r="K62" s="86"/>
      <c r="L62" s="106"/>
      <c r="M62" s="158"/>
      <c r="P62" s="1" t="s">
        <v>30</v>
      </c>
      <c r="Q62" s="11" t="s">
        <v>1</v>
      </c>
      <c r="R62" s="52" t="s">
        <v>31</v>
      </c>
      <c r="S62" s="158"/>
      <c r="T62" s="86"/>
      <c r="U62" s="158"/>
      <c r="V62" s="1" t="s">
        <v>30</v>
      </c>
      <c r="W62" s="11" t="s">
        <v>1</v>
      </c>
      <c r="X62" s="1" t="s">
        <v>31</v>
      </c>
      <c r="Y62" s="158"/>
      <c r="Z62" s="90"/>
      <c r="AA62" s="158"/>
      <c r="AB62" s="57" t="s">
        <v>30</v>
      </c>
      <c r="AC62" s="11" t="s">
        <v>1</v>
      </c>
      <c r="AD62" s="83" t="s">
        <v>31</v>
      </c>
      <c r="AE62" s="158"/>
      <c r="AF62" s="86"/>
      <c r="AG62" s="158"/>
      <c r="AH62" s="1" t="s">
        <v>30</v>
      </c>
      <c r="AI62" s="11" t="s">
        <v>1</v>
      </c>
      <c r="AJ62" s="1" t="s">
        <v>31</v>
      </c>
      <c r="AK62" s="158"/>
      <c r="AL62" s="86"/>
      <c r="AM62" s="73"/>
      <c r="AN62" s="1" t="s">
        <v>30</v>
      </c>
      <c r="AO62" s="11" t="s">
        <v>1</v>
      </c>
      <c r="AP62" s="1" t="s">
        <v>31</v>
      </c>
      <c r="AQ62" s="75"/>
      <c r="AR62" s="106"/>
      <c r="AS62" s="86"/>
      <c r="AT62" s="86"/>
      <c r="AU62" s="86"/>
      <c r="AV62" s="86"/>
      <c r="AW62" s="86"/>
      <c r="AX62" s="86"/>
      <c r="AY62" s="86"/>
      <c r="AZ62" s="31"/>
      <c r="BA62" s="108"/>
      <c r="BE62" s="94"/>
    </row>
    <row r="63" spans="1:57" s="76" customFormat="1" ht="24.95" customHeight="1" x14ac:dyDescent="0.2">
      <c r="A63" s="104" t="s">
        <v>188</v>
      </c>
      <c r="B63" s="111"/>
      <c r="C63" s="32"/>
      <c r="D63" s="86"/>
      <c r="E63" s="89"/>
      <c r="F63" s="90"/>
      <c r="G63" s="89"/>
      <c r="H63" s="90"/>
      <c r="I63" s="90"/>
      <c r="J63" s="90"/>
      <c r="K63" s="86"/>
      <c r="L63" s="106"/>
      <c r="M63" s="158"/>
      <c r="P63" s="130" t="s">
        <v>111</v>
      </c>
      <c r="Q63" s="7" t="str">
        <f>IF(ISBLANK($R$19),"A3",$R$19)</f>
        <v>A3</v>
      </c>
      <c r="R63" s="53"/>
      <c r="S63" s="158"/>
      <c r="T63" s="86"/>
      <c r="U63" s="158"/>
      <c r="V63" s="155" t="s">
        <v>115</v>
      </c>
      <c r="W63" s="7" t="str">
        <f>IF(ISBLANK($R$67),"P1",$R$67)</f>
        <v>P1</v>
      </c>
      <c r="X63" s="3"/>
      <c r="Y63" s="158"/>
      <c r="Z63" s="77"/>
      <c r="AA63" s="158"/>
      <c r="AB63" s="161" t="s">
        <v>136</v>
      </c>
      <c r="AC63" s="15" t="str">
        <f>IF(ISBLANK($X$63),"S1",$X$63)</f>
        <v>S1</v>
      </c>
      <c r="AD63" s="84"/>
      <c r="AE63" s="158"/>
      <c r="AF63" s="86"/>
      <c r="AG63" s="158"/>
      <c r="AH63" s="155" t="s">
        <v>139</v>
      </c>
      <c r="AI63" s="7" t="str">
        <f>IF(ISBLANK($AD$63),"W1",$AD$63)</f>
        <v>W1</v>
      </c>
      <c r="AJ63" s="3"/>
      <c r="AK63" s="158"/>
      <c r="AL63" s="86"/>
      <c r="AM63" s="73"/>
      <c r="AN63" s="155" t="s">
        <v>108</v>
      </c>
      <c r="AO63" s="7" t="str">
        <f>IF(ISBLANK($AJ$63),"Z1",$AJ$63)</f>
        <v>Z1</v>
      </c>
      <c r="AP63" s="3"/>
      <c r="AQ63" s="75"/>
      <c r="AR63" s="106"/>
      <c r="AS63" s="86"/>
      <c r="AT63" s="86"/>
      <c r="AU63" s="86"/>
      <c r="AV63" s="86"/>
      <c r="AW63" s="86"/>
      <c r="AX63" s="86"/>
      <c r="AY63" s="86"/>
      <c r="AZ63" s="31"/>
      <c r="BA63" s="108"/>
      <c r="BE63" s="94"/>
    </row>
    <row r="64" spans="1:57" s="76" customFormat="1" ht="24.95" customHeight="1" x14ac:dyDescent="0.2">
      <c r="A64" s="104" t="s">
        <v>97</v>
      </c>
      <c r="B64" s="111"/>
      <c r="C64" s="32"/>
      <c r="D64" s="86"/>
      <c r="E64" s="89"/>
      <c r="F64" s="90"/>
      <c r="G64" s="89"/>
      <c r="H64" s="90"/>
      <c r="I64" s="90"/>
      <c r="J64" s="90"/>
      <c r="K64" s="86"/>
      <c r="L64" s="106"/>
      <c r="M64" s="158"/>
      <c r="P64" s="131"/>
      <c r="Q64" s="8" t="str">
        <f>IF(ISBLANK($R$35),"E3",$R$35)</f>
        <v>E3</v>
      </c>
      <c r="R64" s="54"/>
      <c r="S64" s="158"/>
      <c r="T64" s="86"/>
      <c r="U64" s="158"/>
      <c r="V64" s="156"/>
      <c r="W64" s="8" t="str">
        <f>IF(ISBLANK($R$72),"Q2",$R$72)</f>
        <v>Q2</v>
      </c>
      <c r="X64" s="10"/>
      <c r="Y64" s="158"/>
      <c r="Z64" s="77"/>
      <c r="AA64" s="158"/>
      <c r="AB64" s="162"/>
      <c r="AC64" s="16" t="str">
        <f>IF(ISBLANK($X$68),"T2",$X$68)</f>
        <v>T2</v>
      </c>
      <c r="AD64" s="85"/>
      <c r="AE64" s="158"/>
      <c r="AF64" s="86"/>
      <c r="AG64" s="158"/>
      <c r="AH64" s="156"/>
      <c r="AI64" s="8" t="str">
        <f>IF(ISBLANK($AD$68),"X2",$AD$68)</f>
        <v>X2</v>
      </c>
      <c r="AJ64" s="10"/>
      <c r="AK64" s="158"/>
      <c r="AL64" s="86"/>
      <c r="AM64" s="73"/>
      <c r="AN64" s="156"/>
      <c r="AO64" s="8" t="str">
        <f>IF(ISBLANK($AJ$67),"AA1",$AJ$67)</f>
        <v>AA1</v>
      </c>
      <c r="AP64" s="10"/>
      <c r="AQ64" s="75"/>
      <c r="AR64" s="106"/>
      <c r="AS64" s="86"/>
      <c r="AT64" s="86"/>
      <c r="AU64" s="86"/>
      <c r="AV64" s="86"/>
      <c r="AW64" s="86"/>
      <c r="AX64" s="86"/>
      <c r="AY64" s="86"/>
      <c r="AZ64" s="31"/>
      <c r="BA64" s="108"/>
      <c r="BE64" s="94"/>
    </row>
    <row r="65" spans="1:57" s="76" customFormat="1" ht="24.95" customHeight="1" x14ac:dyDescent="0.2">
      <c r="A65" s="104" t="s">
        <v>87</v>
      </c>
      <c r="B65" s="111"/>
      <c r="C65" s="32"/>
      <c r="D65" s="86"/>
      <c r="E65" s="89"/>
      <c r="F65" s="90"/>
      <c r="G65" s="89"/>
      <c r="H65" s="90"/>
      <c r="I65" s="90"/>
      <c r="J65" s="90"/>
      <c r="K65" s="86"/>
      <c r="L65" s="106"/>
      <c r="M65" s="158"/>
      <c r="P65" s="131"/>
      <c r="Q65" s="8" t="str">
        <f>IF(ISBLANK($R$24),"B4",$R$24)</f>
        <v>B4</v>
      </c>
      <c r="R65" s="79"/>
      <c r="S65" s="158"/>
      <c r="T65" s="86"/>
      <c r="U65" s="158"/>
      <c r="V65" s="156"/>
      <c r="W65" s="8" t="str">
        <f>IF(ISBLANK($X$19),"I3",$X$19)</f>
        <v>I3</v>
      </c>
      <c r="X65" s="4"/>
      <c r="Y65" s="158"/>
      <c r="Z65" s="77"/>
      <c r="AA65" s="158"/>
      <c r="AB65" s="162"/>
      <c r="AC65" s="8" t="str">
        <f>IF(ISBLANK($X$72),"U2",$X$72)</f>
        <v>U2</v>
      </c>
      <c r="AD65" s="79"/>
      <c r="AE65" s="158"/>
      <c r="AF65" s="86"/>
      <c r="AG65" s="158"/>
      <c r="AH65" s="156"/>
      <c r="AI65" s="8" t="str">
        <f>IF(ISBLANK($AD$72),"Y2",$AD$72)</f>
        <v>Y2</v>
      </c>
      <c r="AJ65" s="4"/>
      <c r="AK65" s="158"/>
      <c r="AL65" s="86"/>
      <c r="AM65" s="73"/>
      <c r="AN65" s="156"/>
      <c r="AO65" s="8" t="str">
        <f>IF(ISBLANK($AJ$64),"Z2",$AJ$64)</f>
        <v>Z2</v>
      </c>
      <c r="AP65" s="4"/>
      <c r="AQ65" s="75"/>
      <c r="AR65" s="106"/>
      <c r="AS65" s="86"/>
      <c r="AT65" s="86"/>
      <c r="AU65" s="86"/>
      <c r="AV65" s="86"/>
      <c r="AW65" s="86"/>
      <c r="AX65" s="86"/>
      <c r="AY65" s="86"/>
      <c r="AZ65" s="31"/>
      <c r="BA65" s="108"/>
      <c r="BE65" s="94"/>
    </row>
    <row r="66" spans="1:57" s="76" customFormat="1" ht="24.75" customHeight="1" x14ac:dyDescent="0.2">
      <c r="A66" s="104" t="s">
        <v>189</v>
      </c>
      <c r="B66" s="111"/>
      <c r="C66" s="32"/>
      <c r="D66" s="86"/>
      <c r="E66" s="89"/>
      <c r="F66" s="90"/>
      <c r="G66" s="89"/>
      <c r="H66" s="90"/>
      <c r="I66" s="90"/>
      <c r="J66" s="90"/>
      <c r="K66" s="86"/>
      <c r="L66" s="106"/>
      <c r="M66" s="158"/>
      <c r="P66" s="132"/>
      <c r="Q66" s="8" t="str">
        <f>IF(ISBLANK($R$40),"F4",$R$40)</f>
        <v>F4</v>
      </c>
      <c r="R66" s="55"/>
      <c r="S66" s="158"/>
      <c r="T66" s="86"/>
      <c r="U66" s="158"/>
      <c r="V66" s="164"/>
      <c r="W66" s="8" t="str">
        <f>IF(ISBLANK($X$32),"L4",$X$32)</f>
        <v>L4</v>
      </c>
      <c r="X66" s="5"/>
      <c r="Y66" s="158"/>
      <c r="Z66" s="77"/>
      <c r="AA66" s="158"/>
      <c r="AB66" s="163"/>
      <c r="AC66" s="8" t="str">
        <f>IF(ISBLANK($AD$19),"M3",$AD$19)</f>
        <v>M3</v>
      </c>
      <c r="AD66" s="79"/>
      <c r="AE66" s="158"/>
      <c r="AF66" s="87"/>
      <c r="AG66" s="158"/>
      <c r="AH66" s="156"/>
      <c r="AI66" s="8" t="str">
        <f>IF(ISBLANK($AJ$19),"WF3",$AJ$19)</f>
        <v>WF3</v>
      </c>
      <c r="AJ66" s="4"/>
      <c r="AK66" s="158"/>
      <c r="AL66" s="86"/>
      <c r="AM66" s="73"/>
      <c r="AN66" s="156"/>
      <c r="AO66" s="8" t="str">
        <f>IF(ISBLANK($AJ$68),"AA2",$AJ$68)</f>
        <v>AA2</v>
      </c>
      <c r="AP66" s="4"/>
      <c r="AQ66" s="75"/>
      <c r="AR66" s="106"/>
      <c r="AS66" s="86"/>
      <c r="AT66" s="86"/>
      <c r="AU66" s="86"/>
      <c r="AV66" s="86"/>
      <c r="AW66" s="86"/>
      <c r="AX66" s="86"/>
      <c r="AY66" s="86"/>
      <c r="AZ66" s="31"/>
      <c r="BA66" s="108"/>
      <c r="BE66" s="94"/>
    </row>
    <row r="67" spans="1:57" s="76" customFormat="1" ht="24.95" customHeight="1" x14ac:dyDescent="0.2">
      <c r="A67" s="104" t="s">
        <v>190</v>
      </c>
      <c r="B67" s="111"/>
      <c r="C67" s="32"/>
      <c r="D67" s="86"/>
      <c r="E67" s="89"/>
      <c r="F67" s="90"/>
      <c r="G67" s="89"/>
      <c r="H67" s="90"/>
      <c r="I67" s="90"/>
      <c r="J67" s="90"/>
      <c r="K67" s="86"/>
      <c r="L67" s="106"/>
      <c r="M67" s="158"/>
      <c r="P67" s="130" t="s">
        <v>112</v>
      </c>
      <c r="Q67" s="7" t="str">
        <f>IF(ISBLANK($R$23),"B3",$R$23)</f>
        <v>B3</v>
      </c>
      <c r="R67" s="53"/>
      <c r="S67" s="158"/>
      <c r="T67" s="86"/>
      <c r="U67" s="158"/>
      <c r="V67" s="155" t="s">
        <v>133</v>
      </c>
      <c r="W67" s="7" t="str">
        <f>IF(ISBLANK($R$71),"Q1",$R$71)</f>
        <v>Q1</v>
      </c>
      <c r="X67" s="3"/>
      <c r="Y67" s="158"/>
      <c r="Z67" s="77"/>
      <c r="AA67" s="158"/>
      <c r="AB67" s="161" t="s">
        <v>137</v>
      </c>
      <c r="AC67" s="15" t="str">
        <f>IF(ISBLANK($X$67),"T1",$X$67)</f>
        <v>T1</v>
      </c>
      <c r="AD67" s="84"/>
      <c r="AE67" s="158"/>
      <c r="AF67" s="87"/>
      <c r="AG67" s="158"/>
      <c r="AH67" s="155" t="s">
        <v>140</v>
      </c>
      <c r="AI67" s="7" t="str">
        <f>IF(ISBLANK($AD$67),"X1",$AD$67)</f>
        <v>X1</v>
      </c>
      <c r="AJ67" s="3"/>
      <c r="AK67" s="158"/>
      <c r="AL67" s="86"/>
      <c r="AM67" s="142"/>
      <c r="AN67" s="143"/>
      <c r="AO67" s="143"/>
      <c r="AP67" s="143"/>
      <c r="AQ67" s="143"/>
      <c r="AR67" s="106"/>
      <c r="AS67" s="86"/>
      <c r="AT67" s="86"/>
      <c r="AU67" s="86"/>
      <c r="AV67" s="86"/>
      <c r="AW67" s="86"/>
      <c r="AX67" s="86"/>
      <c r="AY67" s="86"/>
      <c r="AZ67" s="31"/>
      <c r="BA67" s="108"/>
      <c r="BE67" s="94"/>
    </row>
    <row r="68" spans="1:57" s="76" customFormat="1" ht="24.95" customHeight="1" x14ac:dyDescent="0.2">
      <c r="A68" s="104" t="s">
        <v>191</v>
      </c>
      <c r="B68" s="111"/>
      <c r="C68" s="32"/>
      <c r="D68" s="86"/>
      <c r="E68" s="89"/>
      <c r="F68" s="90"/>
      <c r="G68" s="89"/>
      <c r="H68" s="90"/>
      <c r="I68" s="90"/>
      <c r="J68" s="90"/>
      <c r="K68" s="86"/>
      <c r="L68" s="106"/>
      <c r="M68" s="158"/>
      <c r="P68" s="131"/>
      <c r="Q68" s="8" t="str">
        <f>IF(ISBLANK($R$39),"F3",$R$39)</f>
        <v>F3</v>
      </c>
      <c r="R68" s="54"/>
      <c r="S68" s="158"/>
      <c r="T68" s="86"/>
      <c r="U68" s="158"/>
      <c r="V68" s="156"/>
      <c r="W68" s="8" t="str">
        <f>IF(ISBLANK($R$68),"P2",$R$68)</f>
        <v>P2</v>
      </c>
      <c r="X68" s="10"/>
      <c r="Y68" s="158"/>
      <c r="Z68" s="77"/>
      <c r="AA68" s="158"/>
      <c r="AB68" s="162"/>
      <c r="AC68" s="16" t="str">
        <f>IF(ISBLANK($X$64),"S2",$X$64)</f>
        <v>S2</v>
      </c>
      <c r="AD68" s="85"/>
      <c r="AE68" s="158"/>
      <c r="AF68" s="87"/>
      <c r="AG68" s="158"/>
      <c r="AH68" s="156"/>
      <c r="AI68" s="8" t="str">
        <f>IF(ISBLANK($AD$71),"Y1",$AD$71)</f>
        <v>Y1</v>
      </c>
      <c r="AJ68" s="10"/>
      <c r="AK68" s="158"/>
      <c r="AL68" s="86"/>
      <c r="AM68" s="86"/>
      <c r="AN68" s="92"/>
      <c r="AO68" s="77"/>
      <c r="AP68" s="91"/>
      <c r="AQ68" s="86"/>
      <c r="AR68" s="106"/>
      <c r="AS68" s="86"/>
      <c r="AT68" s="86"/>
      <c r="AU68" s="86"/>
      <c r="AV68" s="86"/>
      <c r="AW68" s="86"/>
      <c r="AX68" s="86"/>
      <c r="AY68" s="86"/>
      <c r="AZ68" s="31"/>
      <c r="BA68" s="108"/>
      <c r="BE68" s="94"/>
    </row>
    <row r="69" spans="1:57" s="76" customFormat="1" ht="24.95" customHeight="1" x14ac:dyDescent="0.2">
      <c r="A69" s="104" t="s">
        <v>96</v>
      </c>
      <c r="B69" s="111"/>
      <c r="C69" s="32"/>
      <c r="D69" s="86"/>
      <c r="E69" s="89"/>
      <c r="F69" s="90"/>
      <c r="G69" s="89"/>
      <c r="H69" s="90"/>
      <c r="I69" s="90"/>
      <c r="J69" s="90"/>
      <c r="K69" s="86"/>
      <c r="L69" s="106"/>
      <c r="M69" s="158"/>
      <c r="P69" s="131"/>
      <c r="Q69" s="8" t="str">
        <f>IF(ISBLANK($R$28),"C4",$R$28)</f>
        <v>C4</v>
      </c>
      <c r="R69" s="79"/>
      <c r="S69" s="158"/>
      <c r="T69" s="86"/>
      <c r="U69" s="158"/>
      <c r="V69" s="156"/>
      <c r="W69" s="8" t="str">
        <f>IF(ISBLANK($X$31),"L3",$X$31)</f>
        <v>L3</v>
      </c>
      <c r="X69" s="4"/>
      <c r="Y69" s="158"/>
      <c r="Z69" s="77"/>
      <c r="AA69" s="158"/>
      <c r="AB69" s="162"/>
      <c r="AC69" s="8" t="str">
        <f>IF(ISBLANK($X$76),"V2",$X$76)</f>
        <v>V2</v>
      </c>
      <c r="AD69" s="79"/>
      <c r="AE69" s="158"/>
      <c r="AF69" s="87"/>
      <c r="AG69" s="158"/>
      <c r="AH69" s="156"/>
      <c r="AI69" s="8" t="str">
        <f>IF(ISBLANK($AD$64),"W2",$AD$64)</f>
        <v>W2</v>
      </c>
      <c r="AJ69" s="4"/>
      <c r="AK69" s="158"/>
      <c r="AL69" s="86"/>
      <c r="AM69" s="86"/>
      <c r="AN69" s="92"/>
      <c r="AO69" s="77"/>
      <c r="AP69" s="91"/>
      <c r="AQ69" s="86"/>
      <c r="AR69" s="106"/>
      <c r="AS69" s="86"/>
      <c r="AT69" s="86"/>
      <c r="AU69" s="86"/>
      <c r="AV69" s="86"/>
      <c r="AW69" s="86"/>
      <c r="AX69" s="86"/>
      <c r="AY69" s="86"/>
      <c r="AZ69" s="31"/>
      <c r="BA69" s="108"/>
      <c r="BE69" s="94"/>
    </row>
    <row r="70" spans="1:57" s="76" customFormat="1" ht="24.95" customHeight="1" x14ac:dyDescent="0.2">
      <c r="A70" s="104" t="s">
        <v>60</v>
      </c>
      <c r="B70" s="111"/>
      <c r="C70" s="32"/>
      <c r="D70" s="86"/>
      <c r="E70" s="89"/>
      <c r="F70" s="90"/>
      <c r="G70" s="89"/>
      <c r="H70" s="90"/>
      <c r="I70" s="90"/>
      <c r="J70" s="90"/>
      <c r="K70" s="86"/>
      <c r="L70" s="106"/>
      <c r="M70" s="158"/>
      <c r="P70" s="132"/>
      <c r="Q70" s="8" t="str">
        <f>IF(ISBLANK($R$44),"G4",$R$44)</f>
        <v>G4</v>
      </c>
      <c r="R70" s="79"/>
      <c r="S70" s="158"/>
      <c r="T70" s="86"/>
      <c r="U70" s="158"/>
      <c r="V70" s="164"/>
      <c r="W70" s="9" t="str">
        <f>IF(ISBLANK($X$20),"I4",$X$20)</f>
        <v>I4</v>
      </c>
      <c r="X70" s="5"/>
      <c r="Y70" s="158"/>
      <c r="Z70" s="77"/>
      <c r="AA70" s="158"/>
      <c r="AB70" s="162"/>
      <c r="AC70" s="8" t="str">
        <f>IF(ISBLANK($AD$23),"N3",$AD$23)</f>
        <v>N3</v>
      </c>
      <c r="AD70" s="79"/>
      <c r="AE70" s="158"/>
      <c r="AF70" s="87"/>
      <c r="AG70" s="158"/>
      <c r="AH70" s="156"/>
      <c r="AI70" s="8" t="str">
        <f>IF(ISBLANK($AJ$20),"WF4",$AJ$20)</f>
        <v>WF4</v>
      </c>
      <c r="AJ70" s="4"/>
      <c r="AK70" s="160"/>
      <c r="AL70" s="86"/>
      <c r="AM70" s="86"/>
      <c r="AN70" s="92"/>
      <c r="AO70" s="77"/>
      <c r="AP70" s="91"/>
      <c r="AQ70" s="86"/>
      <c r="AR70" s="106"/>
      <c r="AS70" s="86"/>
      <c r="AT70" s="86"/>
      <c r="AU70" s="86"/>
      <c r="AV70" s="86"/>
      <c r="AW70" s="86"/>
      <c r="AX70" s="86"/>
      <c r="AY70" s="86"/>
      <c r="AZ70" s="31"/>
      <c r="BA70" s="108"/>
      <c r="BE70" s="94"/>
    </row>
    <row r="71" spans="1:57" s="76" customFormat="1" ht="24.95" customHeight="1" x14ac:dyDescent="0.2">
      <c r="A71" s="104" t="s">
        <v>192</v>
      </c>
      <c r="B71" s="111"/>
      <c r="C71" s="32"/>
      <c r="D71" s="86"/>
      <c r="E71" s="89"/>
      <c r="F71" s="90"/>
      <c r="G71" s="89"/>
      <c r="H71" s="90"/>
      <c r="I71" s="90"/>
      <c r="J71" s="90"/>
      <c r="K71" s="86"/>
      <c r="L71" s="106"/>
      <c r="M71" s="158"/>
      <c r="P71" s="130" t="s">
        <v>113</v>
      </c>
      <c r="Q71" s="7" t="str">
        <f>IF(ISBLANK($R$27),"C3",$R$27)</f>
        <v>C3</v>
      </c>
      <c r="R71" s="53"/>
      <c r="S71" s="158"/>
      <c r="T71" s="86"/>
      <c r="U71" s="158"/>
      <c r="V71" s="155" t="s">
        <v>134</v>
      </c>
      <c r="W71" s="7" t="str">
        <f>IF(ISBLANK($R$63),"O1",$R$63)</f>
        <v>O1</v>
      </c>
      <c r="X71" s="3"/>
      <c r="Y71" s="158"/>
      <c r="Z71" s="86"/>
      <c r="AA71" s="158"/>
      <c r="AB71" s="161" t="s">
        <v>138</v>
      </c>
      <c r="AC71" s="15" t="str">
        <f>IF(ISBLANK($X$71),"U1",$X$71)</f>
        <v>U1</v>
      </c>
      <c r="AD71" s="84"/>
      <c r="AE71" s="158"/>
      <c r="AF71" s="87"/>
      <c r="AG71" s="142"/>
      <c r="AH71" s="143"/>
      <c r="AI71" s="143"/>
      <c r="AJ71" s="143"/>
      <c r="AK71" s="159"/>
      <c r="AL71" s="86"/>
      <c r="AM71" s="86"/>
      <c r="AN71" s="86"/>
      <c r="AO71" s="86"/>
      <c r="AP71" s="86"/>
      <c r="AQ71" s="86"/>
      <c r="AR71" s="106"/>
      <c r="AS71" s="86"/>
      <c r="AT71" s="86"/>
      <c r="AU71" s="86"/>
      <c r="AV71" s="86"/>
      <c r="AW71" s="86"/>
      <c r="AX71" s="86"/>
      <c r="AY71" s="86"/>
      <c r="AZ71" s="31"/>
      <c r="BA71" s="108"/>
      <c r="BE71" s="94"/>
    </row>
    <row r="72" spans="1:57" s="76" customFormat="1" ht="24.95" customHeight="1" x14ac:dyDescent="0.2">
      <c r="A72" s="104" t="s">
        <v>193</v>
      </c>
      <c r="B72" s="111"/>
      <c r="C72" s="32"/>
      <c r="D72" s="86"/>
      <c r="E72" s="89"/>
      <c r="F72" s="90"/>
      <c r="G72" s="89"/>
      <c r="H72" s="90"/>
      <c r="I72" s="90"/>
      <c r="J72" s="90"/>
      <c r="K72" s="86"/>
      <c r="L72" s="106"/>
      <c r="M72" s="158"/>
      <c r="P72" s="131"/>
      <c r="Q72" s="8" t="str">
        <f>IF(ISBLANK($R$43),"G3",$R$43)</f>
        <v>G3</v>
      </c>
      <c r="R72" s="54"/>
      <c r="S72" s="158"/>
      <c r="T72" s="86"/>
      <c r="U72" s="158"/>
      <c r="V72" s="156"/>
      <c r="W72" s="8" t="str">
        <f>IF(ISBLANK($R$76),"R2",$R$76)</f>
        <v>R2</v>
      </c>
      <c r="X72" s="10"/>
      <c r="Y72" s="158"/>
      <c r="Z72" s="86"/>
      <c r="AA72" s="158"/>
      <c r="AB72" s="162"/>
      <c r="AC72" s="16" t="str">
        <f>IF(ISBLANK($X$75),"V1",$X$75)</f>
        <v>V1</v>
      </c>
      <c r="AD72" s="85"/>
      <c r="AE72" s="158"/>
      <c r="AF72" s="87"/>
      <c r="AG72" s="86"/>
      <c r="AH72" s="92"/>
      <c r="AI72" s="77"/>
      <c r="AJ72" s="91"/>
      <c r="AK72" s="86"/>
      <c r="AL72" s="86"/>
      <c r="AM72" s="86"/>
      <c r="AN72" s="86"/>
      <c r="AO72" s="86"/>
      <c r="AP72" s="86"/>
      <c r="AQ72" s="86"/>
      <c r="AR72" s="106"/>
      <c r="AS72" s="86"/>
      <c r="AT72" s="86"/>
      <c r="AU72" s="86"/>
      <c r="AV72" s="86"/>
      <c r="AW72" s="86"/>
      <c r="AX72" s="86"/>
      <c r="AY72" s="86"/>
      <c r="AZ72" s="31"/>
      <c r="BA72" s="108"/>
      <c r="BE72" s="94"/>
    </row>
    <row r="73" spans="1:57" s="76" customFormat="1" ht="24.95" customHeight="1" x14ac:dyDescent="0.2">
      <c r="A73" s="93" t="s">
        <v>95</v>
      </c>
      <c r="B73" s="111"/>
      <c r="C73" s="32"/>
      <c r="D73" s="86"/>
      <c r="E73" s="89"/>
      <c r="F73" s="90"/>
      <c r="G73" s="89"/>
      <c r="H73" s="90"/>
      <c r="I73" s="90"/>
      <c r="J73" s="90"/>
      <c r="K73" s="86"/>
      <c r="L73" s="106"/>
      <c r="M73" s="158"/>
      <c r="P73" s="131"/>
      <c r="Q73" s="8" t="str">
        <f>IF(ISBLANK($R$32),"D4",$R$32)</f>
        <v>D4</v>
      </c>
      <c r="R73" s="79"/>
      <c r="S73" s="158"/>
      <c r="T73" s="86"/>
      <c r="U73" s="158"/>
      <c r="V73" s="156"/>
      <c r="W73" s="8" t="str">
        <f>IF(ISBLANK($X$23),"J3",$X$23)</f>
        <v>J3</v>
      </c>
      <c r="X73" s="4"/>
      <c r="Y73" s="158"/>
      <c r="Z73" s="86"/>
      <c r="AA73" s="158"/>
      <c r="AB73" s="162"/>
      <c r="AC73" s="8" t="str">
        <f>IF(ISBLANK($AD$20),"M4",$AD$20)</f>
        <v>M4</v>
      </c>
      <c r="AD73" s="79"/>
      <c r="AE73" s="158"/>
      <c r="AF73" s="87"/>
      <c r="AG73" s="86"/>
      <c r="AH73" s="92"/>
      <c r="AI73" s="77"/>
      <c r="AJ73" s="91"/>
      <c r="AK73" s="86"/>
      <c r="AL73" s="86"/>
      <c r="AM73" s="86"/>
      <c r="AN73" s="86"/>
      <c r="AO73" s="86"/>
      <c r="AP73" s="86"/>
      <c r="AQ73" s="86"/>
      <c r="AR73" s="106"/>
      <c r="AS73" s="86"/>
      <c r="AT73" s="86"/>
      <c r="AU73" s="86"/>
      <c r="AV73" s="86"/>
      <c r="AW73" s="86"/>
      <c r="AX73" s="86"/>
      <c r="AY73" s="86"/>
      <c r="AZ73" s="31"/>
      <c r="BA73" s="108"/>
      <c r="BE73" s="94"/>
    </row>
    <row r="74" spans="1:57" s="76" customFormat="1" ht="24.95" customHeight="1" x14ac:dyDescent="0.2">
      <c r="A74" s="93" t="s">
        <v>194</v>
      </c>
      <c r="B74" s="111"/>
      <c r="C74" s="32"/>
      <c r="D74" s="86"/>
      <c r="E74" s="89"/>
      <c r="F74" s="90"/>
      <c r="G74" s="89"/>
      <c r="H74" s="90"/>
      <c r="I74" s="90"/>
      <c r="J74" s="90"/>
      <c r="K74" s="86"/>
      <c r="L74" s="106"/>
      <c r="M74" s="158"/>
      <c r="P74" s="132"/>
      <c r="Q74" s="8" t="str">
        <f>IF(ISBLANK($R$48),"H4",$R$48)</f>
        <v>H4</v>
      </c>
      <c r="R74" s="79"/>
      <c r="S74" s="158"/>
      <c r="T74" s="86"/>
      <c r="U74" s="158"/>
      <c r="V74" s="164"/>
      <c r="W74" s="9" t="str">
        <f>IF(ISBLANK($X$28),"K4",$X$28)</f>
        <v>K4</v>
      </c>
      <c r="X74" s="5"/>
      <c r="Y74" s="158"/>
      <c r="Z74" s="86"/>
      <c r="AA74" s="158"/>
      <c r="AB74" s="162"/>
      <c r="AC74" s="8" t="str">
        <f>IF(ISBLANK($AD$24),"N4",$AD$24)</f>
        <v>N4</v>
      </c>
      <c r="AD74" s="79"/>
      <c r="AE74" s="158"/>
      <c r="AF74" s="87"/>
      <c r="AG74" s="86"/>
      <c r="AH74" s="92"/>
      <c r="AI74" s="77"/>
      <c r="AJ74" s="91"/>
      <c r="AK74" s="86"/>
      <c r="AL74" s="86"/>
      <c r="AM74" s="86"/>
      <c r="AN74" s="86"/>
      <c r="AO74" s="86"/>
      <c r="AP74" s="86"/>
      <c r="AQ74" s="86"/>
      <c r="AR74" s="106"/>
      <c r="AS74" s="86"/>
      <c r="AT74" s="86"/>
      <c r="AU74" s="86"/>
      <c r="AV74" s="86"/>
      <c r="AW74" s="86"/>
      <c r="AX74" s="86"/>
      <c r="AY74" s="86"/>
      <c r="AZ74" s="31"/>
      <c r="BA74" s="108"/>
      <c r="BE74" s="94"/>
    </row>
    <row r="75" spans="1:57" s="76" customFormat="1" ht="24.95" customHeight="1" x14ac:dyDescent="0.2">
      <c r="A75" s="93" t="s">
        <v>195</v>
      </c>
      <c r="B75" s="111"/>
      <c r="C75" s="32"/>
      <c r="D75" s="86"/>
      <c r="E75" s="89"/>
      <c r="F75" s="90"/>
      <c r="G75" s="89"/>
      <c r="H75" s="90"/>
      <c r="I75" s="90"/>
      <c r="J75" s="90"/>
      <c r="K75" s="86"/>
      <c r="L75" s="106"/>
      <c r="M75" s="158"/>
      <c r="P75" s="130" t="s">
        <v>114</v>
      </c>
      <c r="Q75" s="7" t="str">
        <f>IF(ISBLANK($R$31),"D3",$R$31)</f>
        <v>D3</v>
      </c>
      <c r="R75" s="53"/>
      <c r="S75" s="158"/>
      <c r="T75" s="86"/>
      <c r="U75" s="158"/>
      <c r="V75" s="155" t="s">
        <v>135</v>
      </c>
      <c r="W75" s="7" t="str">
        <f>IF(ISBLANK($R$75),"R1",$R$75)</f>
        <v>R1</v>
      </c>
      <c r="X75" s="3"/>
      <c r="Y75" s="158"/>
      <c r="Z75" s="86"/>
      <c r="AA75" s="142"/>
      <c r="AB75" s="143"/>
      <c r="AC75" s="143"/>
      <c r="AD75" s="143"/>
      <c r="AE75" s="159"/>
      <c r="AF75" s="87"/>
      <c r="AG75" s="86"/>
      <c r="AH75" s="92"/>
      <c r="AI75" s="77"/>
      <c r="AJ75" s="91"/>
      <c r="AK75" s="86"/>
      <c r="AL75" s="86"/>
      <c r="AM75" s="86"/>
      <c r="AN75" s="86"/>
      <c r="AO75" s="86"/>
      <c r="AP75" s="86"/>
      <c r="AQ75" s="86"/>
      <c r="AR75" s="106"/>
      <c r="AS75" s="86"/>
      <c r="AT75" s="86"/>
      <c r="AU75" s="86"/>
      <c r="AV75" s="86"/>
      <c r="AW75" s="86"/>
      <c r="AX75" s="86"/>
      <c r="AY75" s="86"/>
      <c r="AZ75" s="31"/>
      <c r="BA75" s="108"/>
      <c r="BE75" s="94"/>
    </row>
    <row r="76" spans="1:57" s="76" customFormat="1" ht="24.95" customHeight="1" x14ac:dyDescent="0.2">
      <c r="A76" s="93" t="s">
        <v>196</v>
      </c>
      <c r="B76" s="111"/>
      <c r="C76" s="32"/>
      <c r="D76" s="86"/>
      <c r="E76" s="89"/>
      <c r="F76" s="90"/>
      <c r="G76" s="89"/>
      <c r="H76" s="90"/>
      <c r="I76" s="90"/>
      <c r="J76" s="90"/>
      <c r="K76" s="86"/>
      <c r="L76" s="106"/>
      <c r="M76" s="158"/>
      <c r="P76" s="131"/>
      <c r="Q76" s="8" t="str">
        <f>IF(ISBLANK($R$47),"H3",$R$47)</f>
        <v>H3</v>
      </c>
      <c r="R76" s="54"/>
      <c r="S76" s="158"/>
      <c r="T76" s="86"/>
      <c r="U76" s="158"/>
      <c r="V76" s="156"/>
      <c r="W76" s="8" t="str">
        <f>IF(ISBLANK($R$64),"O2",$R$64)</f>
        <v>O2</v>
      </c>
      <c r="X76" s="10"/>
      <c r="Y76" s="158"/>
      <c r="Z76" s="86"/>
      <c r="AA76" s="86"/>
      <c r="AB76" s="86"/>
      <c r="AC76" s="86"/>
      <c r="AD76" s="86"/>
      <c r="AE76" s="86"/>
      <c r="AF76" s="87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106"/>
      <c r="AS76" s="86"/>
      <c r="AT76" s="86"/>
      <c r="AU76" s="86"/>
      <c r="AV76" s="86"/>
      <c r="AW76" s="86"/>
      <c r="AX76" s="86"/>
      <c r="AY76" s="86"/>
      <c r="AZ76" s="31"/>
      <c r="BA76" s="108"/>
      <c r="BE76" s="94"/>
    </row>
    <row r="77" spans="1:57" s="76" customFormat="1" ht="24.95" customHeight="1" x14ac:dyDescent="0.2">
      <c r="A77" s="93" t="s">
        <v>197</v>
      </c>
      <c r="B77" s="111"/>
      <c r="C77" s="32"/>
      <c r="D77" s="86"/>
      <c r="E77" s="89"/>
      <c r="F77" s="90"/>
      <c r="G77" s="89"/>
      <c r="H77" s="90"/>
      <c r="I77" s="90"/>
      <c r="J77" s="90"/>
      <c r="K77" s="86"/>
      <c r="L77" s="106"/>
      <c r="M77" s="158"/>
      <c r="P77" s="131"/>
      <c r="Q77" s="8" t="str">
        <f>IF(ISBLANK($R$20),"A4",$R$20)</f>
        <v>A4</v>
      </c>
      <c r="R77" s="79"/>
      <c r="S77" s="158"/>
      <c r="T77" s="86"/>
      <c r="U77" s="158"/>
      <c r="V77" s="156"/>
      <c r="W77" s="8" t="str">
        <f>IF(ISBLANK($X$27),"K3",$X$27)</f>
        <v>K3</v>
      </c>
      <c r="X77" s="4"/>
      <c r="Y77" s="158"/>
      <c r="Z77" s="86"/>
      <c r="AA77" s="86"/>
      <c r="AB77" s="86"/>
      <c r="AC77" s="86"/>
      <c r="AD77" s="86"/>
      <c r="AE77" s="86"/>
      <c r="AF77" s="87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106"/>
      <c r="AS77" s="86"/>
      <c r="AT77" s="86"/>
      <c r="AU77" s="86"/>
      <c r="AV77" s="86"/>
      <c r="AW77" s="86"/>
      <c r="AX77" s="86"/>
      <c r="AY77" s="86"/>
      <c r="AZ77" s="31"/>
      <c r="BA77" s="108"/>
      <c r="BE77" s="94"/>
    </row>
    <row r="78" spans="1:57" s="76" customFormat="1" ht="24.95" customHeight="1" x14ac:dyDescent="0.2">
      <c r="A78" s="93" t="s">
        <v>198</v>
      </c>
      <c r="B78" s="111"/>
      <c r="C78" s="32"/>
      <c r="D78" s="86"/>
      <c r="E78" s="89"/>
      <c r="F78" s="90"/>
      <c r="G78" s="89"/>
      <c r="H78" s="90"/>
      <c r="I78" s="90"/>
      <c r="J78" s="90"/>
      <c r="K78" s="86"/>
      <c r="L78" s="106"/>
      <c r="M78" s="160"/>
      <c r="P78" s="132"/>
      <c r="Q78" s="8" t="str">
        <f>IF(ISBLANK($R$36),"E4",$R$36)</f>
        <v>E4</v>
      </c>
      <c r="R78" s="79"/>
      <c r="S78" s="160"/>
      <c r="U78" s="160"/>
      <c r="V78" s="164"/>
      <c r="W78" s="9" t="str">
        <f>IF(ISBLANK($X$24),"J4",$X$24)</f>
        <v>J4</v>
      </c>
      <c r="X78" s="5"/>
      <c r="Y78" s="160"/>
      <c r="Z78" s="86"/>
      <c r="AA78" s="86"/>
      <c r="AB78" s="86"/>
      <c r="AC78" s="86"/>
      <c r="AD78" s="86"/>
      <c r="AE78" s="86"/>
      <c r="AF78" s="87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106"/>
      <c r="AS78" s="86"/>
      <c r="AT78" s="86"/>
      <c r="AU78" s="86"/>
      <c r="AV78" s="86"/>
      <c r="AW78" s="86"/>
      <c r="AX78" s="86"/>
      <c r="AY78" s="86"/>
      <c r="AZ78" s="31"/>
      <c r="BA78" s="108"/>
      <c r="BE78" s="94"/>
    </row>
    <row r="79" spans="1:57" s="76" customFormat="1" ht="24.95" customHeight="1" x14ac:dyDescent="0.2">
      <c r="A79" s="93" t="s">
        <v>98</v>
      </c>
      <c r="B79" s="111"/>
      <c r="C79" s="32"/>
      <c r="D79" s="86"/>
      <c r="E79" s="89"/>
      <c r="F79" s="90"/>
      <c r="G79" s="89"/>
      <c r="H79" s="90"/>
      <c r="I79" s="90"/>
      <c r="J79" s="90"/>
      <c r="K79" s="86"/>
      <c r="L79" s="106"/>
      <c r="M79" s="143"/>
      <c r="N79" s="143"/>
      <c r="O79" s="143"/>
      <c r="P79" s="143"/>
      <c r="Q79" s="143"/>
      <c r="R79" s="143"/>
      <c r="S79" s="159"/>
      <c r="T79" s="86"/>
      <c r="U79" s="142"/>
      <c r="V79" s="143"/>
      <c r="W79" s="143"/>
      <c r="X79" s="143"/>
      <c r="Y79" s="159"/>
      <c r="Z79" s="86"/>
      <c r="AA79" s="86"/>
      <c r="AB79" s="86"/>
      <c r="AC79" s="86"/>
      <c r="AD79" s="86"/>
      <c r="AE79" s="86"/>
      <c r="AF79" s="87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106"/>
      <c r="AS79" s="86"/>
      <c r="AT79" s="86"/>
      <c r="AU79" s="86"/>
      <c r="AV79" s="86"/>
      <c r="AW79" s="86"/>
      <c r="AX79" s="86"/>
      <c r="AY79" s="86"/>
      <c r="AZ79" s="31"/>
      <c r="BA79" s="108"/>
      <c r="BE79" s="94"/>
    </row>
    <row r="80" spans="1:57" s="76" customFormat="1" ht="24.95" customHeight="1" x14ac:dyDescent="0.2">
      <c r="A80" s="93" t="s">
        <v>86</v>
      </c>
      <c r="B80" s="111"/>
      <c r="C80" s="32"/>
      <c r="D80" s="86"/>
      <c r="E80" s="89"/>
      <c r="F80" s="90"/>
      <c r="G80" s="89"/>
      <c r="H80" s="90"/>
      <c r="I80" s="90"/>
      <c r="J80" s="90"/>
      <c r="K80" s="86"/>
      <c r="L80" s="10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106"/>
      <c r="AS80" s="86"/>
      <c r="AT80" s="86"/>
      <c r="AU80" s="86"/>
      <c r="AV80" s="86"/>
      <c r="AW80" s="86"/>
      <c r="AX80" s="86"/>
      <c r="AY80" s="86"/>
      <c r="AZ80" s="31"/>
      <c r="BA80" s="108"/>
      <c r="BE80" s="94"/>
    </row>
    <row r="81" spans="1:57" s="76" customFormat="1" ht="24.95" customHeight="1" thickBot="1" x14ac:dyDescent="0.25">
      <c r="A81" s="93" t="s">
        <v>80</v>
      </c>
      <c r="B81" s="111"/>
      <c r="C81" s="34"/>
      <c r="D81" s="35"/>
      <c r="E81" s="36"/>
      <c r="F81" s="45"/>
      <c r="G81" s="36"/>
      <c r="H81" s="45"/>
      <c r="I81" s="45"/>
      <c r="J81" s="45"/>
      <c r="K81" s="35"/>
      <c r="L81" s="107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107"/>
      <c r="AS81" s="35"/>
      <c r="AT81" s="35"/>
      <c r="AU81" s="35"/>
      <c r="AV81" s="35"/>
      <c r="AW81" s="35"/>
      <c r="AX81" s="35"/>
      <c r="AY81" s="35"/>
      <c r="AZ81" s="37"/>
      <c r="BA81" s="108"/>
      <c r="BE81" s="94"/>
    </row>
    <row r="82" spans="1:57" ht="24.95" customHeight="1" x14ac:dyDescent="0.25">
      <c r="A82" s="93" t="s">
        <v>199</v>
      </c>
    </row>
    <row r="83" spans="1:57" ht="24.95" hidden="1" customHeight="1" x14ac:dyDescent="0.25">
      <c r="A83" s="93" t="s">
        <v>200</v>
      </c>
    </row>
    <row r="84" spans="1:57" ht="24.95" hidden="1" customHeight="1" x14ac:dyDescent="0.25">
      <c r="A84" s="93" t="s">
        <v>72</v>
      </c>
    </row>
    <row r="85" spans="1:57" ht="24.95" hidden="1" customHeight="1" x14ac:dyDescent="0.25">
      <c r="A85" s="93" t="s">
        <v>76</v>
      </c>
    </row>
    <row r="86" spans="1:57" ht="24.95" hidden="1" customHeight="1" x14ac:dyDescent="0.25">
      <c r="A86" s="93" t="s">
        <v>201</v>
      </c>
    </row>
    <row r="87" spans="1:57" ht="24.95" hidden="1" customHeight="1" x14ac:dyDescent="0.25">
      <c r="A87" s="93" t="s">
        <v>202</v>
      </c>
    </row>
    <row r="88" spans="1:57" ht="24.95" hidden="1" customHeight="1" x14ac:dyDescent="0.25">
      <c r="A88" s="93" t="s">
        <v>203</v>
      </c>
    </row>
    <row r="89" spans="1:57" ht="24.95" hidden="1" customHeight="1" x14ac:dyDescent="0.25">
      <c r="A89" s="93" t="s">
        <v>89</v>
      </c>
    </row>
    <row r="90" spans="1:57" ht="24.95" hidden="1" customHeight="1" x14ac:dyDescent="0.25">
      <c r="A90" s="93" t="s">
        <v>90</v>
      </c>
    </row>
    <row r="91" spans="1:57" ht="24.95" hidden="1" customHeight="1" x14ac:dyDescent="0.25">
      <c r="A91" s="93" t="s">
        <v>78</v>
      </c>
    </row>
    <row r="92" spans="1:57" ht="24.95" hidden="1" customHeight="1" x14ac:dyDescent="0.25">
      <c r="A92" s="93" t="s">
        <v>77</v>
      </c>
    </row>
    <row r="93" spans="1:57" ht="24.95" hidden="1" customHeight="1" x14ac:dyDescent="0.25">
      <c r="A93" s="93" t="s">
        <v>83</v>
      </c>
    </row>
    <row r="94" spans="1:57" ht="24.95" hidden="1" customHeight="1" x14ac:dyDescent="0.25">
      <c r="A94" s="93" t="s">
        <v>93</v>
      </c>
    </row>
    <row r="95" spans="1:57" ht="24.95" hidden="1" customHeight="1" x14ac:dyDescent="0.25">
      <c r="A95" s="93" t="s">
        <v>63</v>
      </c>
    </row>
    <row r="96" spans="1:57" ht="24.95" hidden="1" customHeight="1" x14ac:dyDescent="0.25">
      <c r="A96" s="93" t="s">
        <v>70</v>
      </c>
    </row>
    <row r="97" spans="1:1" ht="24.95" hidden="1" customHeight="1" x14ac:dyDescent="0.25">
      <c r="A97" s="93" t="s">
        <v>66</v>
      </c>
    </row>
    <row r="98" spans="1:1" ht="24.95" hidden="1" customHeight="1" x14ac:dyDescent="0.25">
      <c r="A98" s="93" t="s">
        <v>65</v>
      </c>
    </row>
    <row r="99" spans="1:1" ht="24.95" hidden="1" customHeight="1" x14ac:dyDescent="0.25">
      <c r="A99" s="93" t="s">
        <v>67</v>
      </c>
    </row>
    <row r="100" spans="1:1" ht="24.95" hidden="1" customHeight="1" x14ac:dyDescent="0.25">
      <c r="A100" s="93" t="s">
        <v>69</v>
      </c>
    </row>
    <row r="101" spans="1:1" ht="24.95" hidden="1" customHeight="1" x14ac:dyDescent="0.25">
      <c r="A101" s="93" t="s">
        <v>71</v>
      </c>
    </row>
    <row r="102" spans="1:1" ht="24.95" hidden="1" customHeight="1" x14ac:dyDescent="0.25">
      <c r="A102" s="93" t="s">
        <v>68</v>
      </c>
    </row>
    <row r="103" spans="1:1" ht="24.95" hidden="1" customHeight="1" x14ac:dyDescent="0.25">
      <c r="A103" s="93" t="s">
        <v>64</v>
      </c>
    </row>
    <row r="104" spans="1:1" ht="24.95" hidden="1" customHeight="1" x14ac:dyDescent="0.25">
      <c r="A104" s="93" t="s">
        <v>204</v>
      </c>
    </row>
    <row r="105" spans="1:1" ht="24.95" hidden="1" customHeight="1" x14ac:dyDescent="0.25">
      <c r="A105" s="88"/>
    </row>
    <row r="106" spans="1:1" ht="24.95" hidden="1" customHeight="1" x14ac:dyDescent="0.25">
      <c r="A106" s="88"/>
    </row>
    <row r="107" spans="1:1" ht="24.95" hidden="1" customHeight="1" x14ac:dyDescent="0.25">
      <c r="A107" s="88"/>
    </row>
    <row r="108" spans="1:1" ht="24.95" hidden="1" customHeight="1" x14ac:dyDescent="0.25">
      <c r="A108" s="88"/>
    </row>
    <row r="109" spans="1:1" ht="24.95" hidden="1" customHeight="1" x14ac:dyDescent="0.25">
      <c r="A109" s="88"/>
    </row>
    <row r="110" spans="1:1" ht="24.95" hidden="1" customHeight="1" x14ac:dyDescent="0.25">
      <c r="A110" s="88"/>
    </row>
    <row r="111" spans="1:1" ht="24.95" hidden="1" customHeight="1" x14ac:dyDescent="0.25">
      <c r="A111" s="88"/>
    </row>
    <row r="112" spans="1:1" ht="24.95" hidden="1" customHeight="1" x14ac:dyDescent="0.25">
      <c r="A112" s="88"/>
    </row>
    <row r="113" spans="1:1" ht="24.95" hidden="1" customHeight="1" x14ac:dyDescent="0.25">
      <c r="A113" s="88"/>
    </row>
    <row r="114" spans="1:1" ht="24.95" hidden="1" customHeight="1" x14ac:dyDescent="0.25">
      <c r="A114" s="88"/>
    </row>
    <row r="115" spans="1:1" ht="24.95" hidden="1" customHeight="1" x14ac:dyDescent="0.25">
      <c r="A115" s="88"/>
    </row>
    <row r="116" spans="1:1" ht="24.95" hidden="1" customHeight="1" x14ac:dyDescent="0.25">
      <c r="A116" s="88"/>
    </row>
    <row r="117" spans="1:1" ht="24.95" hidden="1" customHeight="1" x14ac:dyDescent="0.25">
      <c r="A117" s="88"/>
    </row>
    <row r="118" spans="1:1" ht="24.95" hidden="1" customHeight="1" x14ac:dyDescent="0.25">
      <c r="A118" s="88"/>
    </row>
    <row r="119" spans="1:1" ht="24.95" hidden="1" customHeight="1" x14ac:dyDescent="0.25">
      <c r="A119" s="88"/>
    </row>
    <row r="120" spans="1:1" ht="24.95" hidden="1" customHeight="1" x14ac:dyDescent="0.25">
      <c r="A120" s="88"/>
    </row>
    <row r="121" spans="1:1" ht="24.95" hidden="1" customHeight="1" x14ac:dyDescent="0.25">
      <c r="A121" s="88"/>
    </row>
    <row r="122" spans="1:1" ht="24.95" hidden="1" customHeight="1" x14ac:dyDescent="0.25">
      <c r="A122" s="88"/>
    </row>
    <row r="123" spans="1:1" ht="24.95" hidden="1" customHeight="1" x14ac:dyDescent="0.25">
      <c r="A123" s="88"/>
    </row>
    <row r="124" spans="1:1" ht="24.95" hidden="1" customHeight="1" x14ac:dyDescent="0.25">
      <c r="A124" s="88"/>
    </row>
    <row r="125" spans="1:1" ht="24.95" hidden="1" customHeight="1" x14ac:dyDescent="0.2"/>
    <row r="126" spans="1:1" ht="24.95" hidden="1" customHeight="1" x14ac:dyDescent="0.2"/>
    <row r="127" spans="1:1" ht="24.95" hidden="1" customHeight="1" x14ac:dyDescent="0.2"/>
    <row r="128" spans="1:1" ht="24.95" hidden="1" customHeight="1" x14ac:dyDescent="0.2"/>
    <row r="129" ht="24.95" hidden="1" customHeight="1" x14ac:dyDescent="0.2"/>
    <row r="130" ht="24.95" hidden="1" customHeight="1" x14ac:dyDescent="0.2"/>
    <row r="131" ht="24.95" hidden="1" customHeight="1" x14ac:dyDescent="0.2"/>
    <row r="132" ht="24.95" hidden="1" customHeight="1" x14ac:dyDescent="0.2"/>
    <row r="133" ht="24.95" hidden="1" customHeight="1" x14ac:dyDescent="0.2"/>
    <row r="134" ht="24.95" hidden="1" customHeight="1" x14ac:dyDescent="0.2"/>
    <row r="135" ht="24.95" hidden="1" customHeight="1" x14ac:dyDescent="0.2"/>
    <row r="136" ht="24.95" hidden="1" customHeight="1" x14ac:dyDescent="0.2"/>
    <row r="137" ht="24.95" hidden="1" customHeight="1" x14ac:dyDescent="0.2"/>
    <row r="138" ht="24.95" hidden="1" customHeight="1" x14ac:dyDescent="0.2"/>
    <row r="139" ht="24.95" hidden="1" customHeight="1" x14ac:dyDescent="0.2"/>
    <row r="140" ht="24.95" hidden="1" customHeight="1" x14ac:dyDescent="0.2"/>
    <row r="141" ht="24.95" hidden="1" customHeight="1" x14ac:dyDescent="0.2"/>
    <row r="142" ht="24.95" hidden="1" customHeight="1" x14ac:dyDescent="0.2"/>
    <row r="143" ht="24.95" hidden="1" customHeight="1" x14ac:dyDescent="0.2"/>
    <row r="144" ht="24.95" hidden="1" customHeight="1" x14ac:dyDescent="0.2"/>
    <row r="145" spans="1:1" ht="24.95" hidden="1" customHeight="1" x14ac:dyDescent="0.2"/>
    <row r="146" spans="1:1" ht="24.95" hidden="1" customHeight="1" x14ac:dyDescent="0.2"/>
    <row r="147" spans="1:1" ht="30" hidden="1" customHeight="1" x14ac:dyDescent="0.2"/>
    <row r="148" spans="1:1" ht="14.25" hidden="1" customHeight="1" x14ac:dyDescent="0.25">
      <c r="A148" s="93" t="s">
        <v>97</v>
      </c>
    </row>
  </sheetData>
  <mergeCells count="99">
    <mergeCell ref="M11:S13"/>
    <mergeCell ref="Q15:R15"/>
    <mergeCell ref="U11:Y13"/>
    <mergeCell ref="U14:Y14"/>
    <mergeCell ref="AA14:AE14"/>
    <mergeCell ref="AA11:AE13"/>
    <mergeCell ref="C2:K6"/>
    <mergeCell ref="H13:J14"/>
    <mergeCell ref="D13:E14"/>
    <mergeCell ref="P17:P20"/>
    <mergeCell ref="D9:E9"/>
    <mergeCell ref="I7:J7"/>
    <mergeCell ref="C8:K8"/>
    <mergeCell ref="H9:J9"/>
    <mergeCell ref="M15:M48"/>
    <mergeCell ref="M14:S14"/>
    <mergeCell ref="L2:L81"/>
    <mergeCell ref="P25:P28"/>
    <mergeCell ref="P29:P32"/>
    <mergeCell ref="P45:P48"/>
    <mergeCell ref="M49:S49"/>
    <mergeCell ref="S15:S48"/>
    <mergeCell ref="AG57:AK59"/>
    <mergeCell ref="AG60:AK60"/>
    <mergeCell ref="AG11:AK13"/>
    <mergeCell ref="AI15:AJ15"/>
    <mergeCell ref="AH17:AH20"/>
    <mergeCell ref="AG21:AK21"/>
    <mergeCell ref="AG14:AK14"/>
    <mergeCell ref="AB21:AB24"/>
    <mergeCell ref="AK15:AK20"/>
    <mergeCell ref="AG15:AG20"/>
    <mergeCell ref="V25:V28"/>
    <mergeCell ref="W15:X15"/>
    <mergeCell ref="Y15:Y32"/>
    <mergeCell ref="AB17:AB20"/>
    <mergeCell ref="AA15:AA24"/>
    <mergeCell ref="AE15:AE24"/>
    <mergeCell ref="AC15:AD15"/>
    <mergeCell ref="AA60:AE60"/>
    <mergeCell ref="V67:V70"/>
    <mergeCell ref="AA57:AE59"/>
    <mergeCell ref="AC61:AD61"/>
    <mergeCell ref="M60:S60"/>
    <mergeCell ref="U60:Y60"/>
    <mergeCell ref="U57:Y59"/>
    <mergeCell ref="U33:Y33"/>
    <mergeCell ref="W61:X61"/>
    <mergeCell ref="M57:S59"/>
    <mergeCell ref="V29:V32"/>
    <mergeCell ref="U15:U32"/>
    <mergeCell ref="P21:P24"/>
    <mergeCell ref="P37:P40"/>
    <mergeCell ref="P33:P36"/>
    <mergeCell ref="V17:V20"/>
    <mergeCell ref="V21:V24"/>
    <mergeCell ref="P41:P44"/>
    <mergeCell ref="M79:S79"/>
    <mergeCell ref="V75:V78"/>
    <mergeCell ref="U61:U78"/>
    <mergeCell ref="Y61:Y78"/>
    <mergeCell ref="U79:Y79"/>
    <mergeCell ref="P75:P78"/>
    <mergeCell ref="M61:M78"/>
    <mergeCell ref="S61:S78"/>
    <mergeCell ref="P71:P74"/>
    <mergeCell ref="V71:V74"/>
    <mergeCell ref="V63:V66"/>
    <mergeCell ref="P63:P66"/>
    <mergeCell ref="P67:P70"/>
    <mergeCell ref="AN63:AN66"/>
    <mergeCell ref="AE61:AE74"/>
    <mergeCell ref="AA75:AE75"/>
    <mergeCell ref="AH67:AH70"/>
    <mergeCell ref="AG61:AG70"/>
    <mergeCell ref="AK61:AK70"/>
    <mergeCell ref="AG71:AK71"/>
    <mergeCell ref="AH63:AH66"/>
    <mergeCell ref="AI61:AJ61"/>
    <mergeCell ref="AB63:AB66"/>
    <mergeCell ref="AB67:AB70"/>
    <mergeCell ref="AB71:AB74"/>
    <mergeCell ref="AA61:AA74"/>
    <mergeCell ref="AR2:AR81"/>
    <mergeCell ref="BA2:BA81"/>
    <mergeCell ref="B1:XFD1"/>
    <mergeCell ref="B82:XFD1048576"/>
    <mergeCell ref="B2:B81"/>
    <mergeCell ref="M52:AQ54"/>
    <mergeCell ref="M5:AQ7"/>
    <mergeCell ref="AU17:AU20"/>
    <mergeCell ref="AU31:AU34"/>
    <mergeCell ref="AS5:AZ7"/>
    <mergeCell ref="AM67:AQ67"/>
    <mergeCell ref="AT11:AY13"/>
    <mergeCell ref="AT25:AY27"/>
    <mergeCell ref="AM57:AQ59"/>
    <mergeCell ref="AM60:AQ60"/>
    <mergeCell ref="AO61:AP61"/>
  </mergeCells>
  <phoneticPr fontId="2" type="noConversion"/>
  <conditionalFormatting sqref="Q63">
    <cfRule type="expression" dxfId="91" priority="64">
      <formula>ISBLANK($R$19)</formula>
    </cfRule>
  </conditionalFormatting>
  <conditionalFormatting sqref="Q64">
    <cfRule type="expression" dxfId="90" priority="63">
      <formula>ISBLANK($R$35)</formula>
    </cfRule>
  </conditionalFormatting>
  <conditionalFormatting sqref="Q65">
    <cfRule type="expression" dxfId="89" priority="62">
      <formula>ISBLANK($R$24)</formula>
    </cfRule>
  </conditionalFormatting>
  <conditionalFormatting sqref="Q66">
    <cfRule type="expression" dxfId="88" priority="61">
      <formula>ISBLANK($R$40)</formula>
    </cfRule>
  </conditionalFormatting>
  <conditionalFormatting sqref="Q67">
    <cfRule type="expression" dxfId="87" priority="60">
      <formula>ISBLANK($R$23)</formula>
    </cfRule>
  </conditionalFormatting>
  <conditionalFormatting sqref="Q68">
    <cfRule type="expression" dxfId="86" priority="59">
      <formula>ISBLANK($R$39)</formula>
    </cfRule>
  </conditionalFormatting>
  <conditionalFormatting sqref="Q69">
    <cfRule type="expression" dxfId="85" priority="58">
      <formula>ISBLANK($R$28)</formula>
    </cfRule>
  </conditionalFormatting>
  <conditionalFormatting sqref="Q70">
    <cfRule type="expression" dxfId="84" priority="57">
      <formula>ISBLANK($R$44)</formula>
    </cfRule>
  </conditionalFormatting>
  <conditionalFormatting sqref="Q71">
    <cfRule type="expression" dxfId="83" priority="56">
      <formula>ISBLANK($R$27)</formula>
    </cfRule>
  </conditionalFormatting>
  <conditionalFormatting sqref="Q72">
    <cfRule type="expression" dxfId="82" priority="55">
      <formula>ISBLANK($R$43)</formula>
    </cfRule>
  </conditionalFormatting>
  <conditionalFormatting sqref="Q73">
    <cfRule type="expression" dxfId="81" priority="54">
      <formula>ISBLANK($R$32)</formula>
    </cfRule>
  </conditionalFormatting>
  <conditionalFormatting sqref="Q74">
    <cfRule type="expression" dxfId="80" priority="53">
      <formula>ISBLANK($R$48)</formula>
    </cfRule>
  </conditionalFormatting>
  <conditionalFormatting sqref="Q75">
    <cfRule type="expression" dxfId="79" priority="52">
      <formula>ISBLANK($R$31)</formula>
    </cfRule>
  </conditionalFormatting>
  <conditionalFormatting sqref="Q76">
    <cfRule type="expression" dxfId="78" priority="51">
      <formula>ISBLANK($R$47)</formula>
    </cfRule>
  </conditionalFormatting>
  <conditionalFormatting sqref="Q77">
    <cfRule type="expression" dxfId="77" priority="50">
      <formula>ISBLANK($R$20)</formula>
    </cfRule>
  </conditionalFormatting>
  <conditionalFormatting sqref="Q78">
    <cfRule type="expression" dxfId="76" priority="49">
      <formula>ISBLANK($R$36)</formula>
    </cfRule>
  </conditionalFormatting>
  <conditionalFormatting sqref="W17">
    <cfRule type="expression" dxfId="75" priority="352">
      <formula>ISBLANK($R$17)</formula>
    </cfRule>
  </conditionalFormatting>
  <conditionalFormatting sqref="W18">
    <cfRule type="expression" dxfId="74" priority="91">
      <formula>ISBLANK($R$33)</formula>
    </cfRule>
  </conditionalFormatting>
  <conditionalFormatting sqref="W19">
    <cfRule type="expression" dxfId="73" priority="90">
      <formula>ISBLANK($R$22)</formula>
    </cfRule>
  </conditionalFormatting>
  <conditionalFormatting sqref="W20">
    <cfRule type="expression" dxfId="72" priority="89">
      <formula>ISBLANK($R$38)</formula>
    </cfRule>
  </conditionalFormatting>
  <conditionalFormatting sqref="W21">
    <cfRule type="expression" dxfId="71" priority="88">
      <formula>ISBLANK($R$21)</formula>
    </cfRule>
  </conditionalFormatting>
  <conditionalFormatting sqref="W22">
    <cfRule type="expression" dxfId="70" priority="87">
      <formula>ISBLANK($R$37)</formula>
    </cfRule>
  </conditionalFormatting>
  <conditionalFormatting sqref="W23">
    <cfRule type="expression" dxfId="69" priority="86">
      <formula>ISBLANK($R$26)</formula>
    </cfRule>
  </conditionalFormatting>
  <conditionalFormatting sqref="W24">
    <cfRule type="expression" dxfId="68" priority="85">
      <formula>ISBLANK($R$42)</formula>
    </cfRule>
  </conditionalFormatting>
  <conditionalFormatting sqref="W25">
    <cfRule type="expression" dxfId="67" priority="84">
      <formula>ISBLANK($R$25)</formula>
    </cfRule>
  </conditionalFormatting>
  <conditionalFormatting sqref="W26">
    <cfRule type="expression" dxfId="66" priority="83">
      <formula>ISBLANK($R$41)</formula>
    </cfRule>
  </conditionalFormatting>
  <conditionalFormatting sqref="W27">
    <cfRule type="expression" dxfId="65" priority="82">
      <formula>ISBLANK($R$30)</formula>
    </cfRule>
  </conditionalFormatting>
  <conditionalFormatting sqref="W28">
    <cfRule type="expression" dxfId="64" priority="81">
      <formula>ISBLANK($R$46)</formula>
    </cfRule>
  </conditionalFormatting>
  <conditionalFormatting sqref="W29">
    <cfRule type="expression" dxfId="63" priority="80">
      <formula>ISBLANK($R$29)</formula>
    </cfRule>
  </conditionalFormatting>
  <conditionalFormatting sqref="W30">
    <cfRule type="expression" dxfId="62" priority="79">
      <formula>ISBLANK($R$45)</formula>
    </cfRule>
  </conditionalFormatting>
  <conditionalFormatting sqref="W31">
    <cfRule type="expression" dxfId="61" priority="78">
      <formula>ISBLANK($R$18)</formula>
    </cfRule>
  </conditionalFormatting>
  <conditionalFormatting sqref="W32">
    <cfRule type="expression" dxfId="60" priority="77">
      <formula>ISBLANK($R$34)</formula>
    </cfRule>
  </conditionalFormatting>
  <conditionalFormatting sqref="W63">
    <cfRule type="expression" dxfId="59" priority="48">
      <formula>ISBLANK($R$67)</formula>
    </cfRule>
  </conditionalFormatting>
  <conditionalFormatting sqref="W64">
    <cfRule type="expression" dxfId="58" priority="47">
      <formula>ISBLANK($R$72)</formula>
    </cfRule>
  </conditionalFormatting>
  <conditionalFormatting sqref="W65">
    <cfRule type="expression" dxfId="57" priority="46">
      <formula>ISBLANK($X$19)</formula>
    </cfRule>
  </conditionalFormatting>
  <conditionalFormatting sqref="W66">
    <cfRule type="expression" dxfId="56" priority="45">
      <formula>ISBLANK($X$32)</formula>
    </cfRule>
  </conditionalFormatting>
  <conditionalFormatting sqref="W67">
    <cfRule type="expression" dxfId="55" priority="44">
      <formula>ISBLANK($R$71)</formula>
    </cfRule>
  </conditionalFormatting>
  <conditionalFormatting sqref="W68">
    <cfRule type="expression" dxfId="54" priority="43">
      <formula>ISBLANK($R$68)</formula>
    </cfRule>
  </conditionalFormatting>
  <conditionalFormatting sqref="W69">
    <cfRule type="expression" dxfId="53" priority="42">
      <formula>ISBLANK($X$31)</formula>
    </cfRule>
  </conditionalFormatting>
  <conditionalFormatting sqref="W70">
    <cfRule type="expression" dxfId="52" priority="41">
      <formula>ISBLANK($X$20)</formula>
    </cfRule>
  </conditionalFormatting>
  <conditionalFormatting sqref="W71">
    <cfRule type="expression" dxfId="51" priority="40">
      <formula>ISBLANK($R$63)</formula>
    </cfRule>
  </conditionalFormatting>
  <conditionalFormatting sqref="W72">
    <cfRule type="expression" dxfId="50" priority="39">
      <formula>ISBLANK($R$76)</formula>
    </cfRule>
  </conditionalFormatting>
  <conditionalFormatting sqref="W73">
    <cfRule type="expression" dxfId="49" priority="38">
      <formula>ISBLANK($X$23)</formula>
    </cfRule>
  </conditionalFormatting>
  <conditionalFormatting sqref="W74">
    <cfRule type="expression" dxfId="48" priority="37">
      <formula>ISBLANK($X$28)</formula>
    </cfRule>
  </conditionalFormatting>
  <conditionalFormatting sqref="W75">
    <cfRule type="expression" dxfId="47" priority="36">
      <formula>ISBLANK($R$75)</formula>
    </cfRule>
  </conditionalFormatting>
  <conditionalFormatting sqref="W76">
    <cfRule type="expression" dxfId="46" priority="35">
      <formula>ISBLANK($R$64)</formula>
    </cfRule>
  </conditionalFormatting>
  <conditionalFormatting sqref="W77">
    <cfRule type="expression" dxfId="45" priority="34">
      <formula>ISBLANK($X$27)</formula>
    </cfRule>
  </conditionalFormatting>
  <conditionalFormatting sqref="W78">
    <cfRule type="expression" dxfId="44" priority="33">
      <formula>ISBLANK($X$24)</formula>
    </cfRule>
  </conditionalFormatting>
  <conditionalFormatting sqref="AC17">
    <cfRule type="expression" dxfId="43" priority="76">
      <formula>ISBLANK($X$17)</formula>
    </cfRule>
  </conditionalFormatting>
  <conditionalFormatting sqref="AC18">
    <cfRule type="expression" dxfId="42" priority="75">
      <formula>ISBLANK($X$25)</formula>
    </cfRule>
  </conditionalFormatting>
  <conditionalFormatting sqref="AC19">
    <cfRule type="expression" dxfId="41" priority="74">
      <formula>ISBLANK($X$22)</formula>
    </cfRule>
  </conditionalFormatting>
  <conditionalFormatting sqref="AC20">
    <cfRule type="expression" dxfId="40" priority="73">
      <formula>ISBLANK($X$30)</formula>
    </cfRule>
  </conditionalFormatting>
  <conditionalFormatting sqref="AC21">
    <cfRule type="expression" dxfId="39" priority="72">
      <formula>ISBLANK($X$21)</formula>
    </cfRule>
  </conditionalFormatting>
  <conditionalFormatting sqref="AC22">
    <cfRule type="expression" dxfId="38" priority="71">
      <formula>ISBLANK($X$29)</formula>
    </cfRule>
  </conditionalFormatting>
  <conditionalFormatting sqref="AC23">
    <cfRule type="expression" dxfId="37" priority="70">
      <formula>ISBLANK($X$18)</formula>
    </cfRule>
  </conditionalFormatting>
  <conditionalFormatting sqref="AC24">
    <cfRule type="expression" dxfId="36" priority="69">
      <formula>ISBLANK($X$26)</formula>
    </cfRule>
  </conditionalFormatting>
  <conditionalFormatting sqref="AC63">
    <cfRule type="expression" dxfId="35" priority="32">
      <formula>ISBLANK($X$63)</formula>
    </cfRule>
  </conditionalFormatting>
  <conditionalFormatting sqref="AC64">
    <cfRule type="expression" dxfId="34" priority="31">
      <formula>ISBLANK($X$68)</formula>
    </cfRule>
  </conditionalFormatting>
  <conditionalFormatting sqref="AC65">
    <cfRule type="expression" dxfId="33" priority="30">
      <formula>ISBLANK($X$72)</formula>
    </cfRule>
  </conditionalFormatting>
  <conditionalFormatting sqref="AC66">
    <cfRule type="expression" dxfId="32" priority="29">
      <formula>ISBLANK($AD$19)</formula>
    </cfRule>
  </conditionalFormatting>
  <conditionalFormatting sqref="AC67">
    <cfRule type="expression" dxfId="31" priority="28">
      <formula>ISBLANK($X$67)</formula>
    </cfRule>
  </conditionalFormatting>
  <conditionalFormatting sqref="AC68">
    <cfRule type="expression" dxfId="30" priority="27">
      <formula>ISBLANK($X$64)</formula>
    </cfRule>
  </conditionalFormatting>
  <conditionalFormatting sqref="AC69">
    <cfRule type="expression" dxfId="29" priority="26">
      <formula>ISBLANK($X$76)</formula>
    </cfRule>
  </conditionalFormatting>
  <conditionalFormatting sqref="AC70">
    <cfRule type="expression" dxfId="28" priority="25">
      <formula>ISBLANK($AD$23)</formula>
    </cfRule>
  </conditionalFormatting>
  <conditionalFormatting sqref="AC71">
    <cfRule type="expression" dxfId="27" priority="24">
      <formula>ISBLANK($X$71)</formula>
    </cfRule>
  </conditionalFormatting>
  <conditionalFormatting sqref="AC72">
    <cfRule type="expression" dxfId="26" priority="23">
      <formula>ISBLANK($X$75)</formula>
    </cfRule>
  </conditionalFormatting>
  <conditionalFormatting sqref="AC73">
    <cfRule type="expression" dxfId="25" priority="22">
      <formula>ISBLANK($AD$20)</formula>
    </cfRule>
  </conditionalFormatting>
  <conditionalFormatting sqref="AC74">
    <cfRule type="expression" dxfId="24" priority="21">
      <formula>ISBLANK($AD$24)</formula>
    </cfRule>
  </conditionalFormatting>
  <conditionalFormatting sqref="AI17">
    <cfRule type="expression" dxfId="23" priority="68">
      <formula>ISBLANK($AD$17)</formula>
    </cfRule>
  </conditionalFormatting>
  <conditionalFormatting sqref="AI18">
    <cfRule type="expression" dxfId="22" priority="67">
      <formula>ISBLANK($AD$21)</formula>
    </cfRule>
  </conditionalFormatting>
  <conditionalFormatting sqref="AI19">
    <cfRule type="expression" dxfId="21" priority="66">
      <formula>ISBLANK($AD$18)</formula>
    </cfRule>
  </conditionalFormatting>
  <conditionalFormatting sqref="AI20">
    <cfRule type="expression" dxfId="20" priority="65">
      <formula>ISBLANK($AD$22)</formula>
    </cfRule>
  </conditionalFormatting>
  <conditionalFormatting sqref="AI63">
    <cfRule type="expression" dxfId="19" priority="20">
      <formula>ISBLANK($AD$63)</formula>
    </cfRule>
  </conditionalFormatting>
  <conditionalFormatting sqref="AI64">
    <cfRule type="expression" dxfId="18" priority="19">
      <formula>ISBLANK($AD$68)</formula>
    </cfRule>
  </conditionalFormatting>
  <conditionalFormatting sqref="AI65">
    <cfRule type="expression" dxfId="17" priority="18">
      <formula>ISBLANK($AD$72)</formula>
    </cfRule>
  </conditionalFormatting>
  <conditionalFormatting sqref="AI66">
    <cfRule type="expression" dxfId="16" priority="17">
      <formula>ISBLANK($AJ$19)</formula>
    </cfRule>
  </conditionalFormatting>
  <conditionalFormatting sqref="AI67">
    <cfRule type="expression" dxfId="15" priority="16">
      <formula>ISBLANK($AD$67)</formula>
    </cfRule>
  </conditionalFormatting>
  <conditionalFormatting sqref="AI68">
    <cfRule type="expression" dxfId="14" priority="15">
      <formula>ISBLANK($AD$71)</formula>
    </cfRule>
  </conditionalFormatting>
  <conditionalFormatting sqref="AI69">
    <cfRule type="expression" dxfId="13" priority="14">
      <formula>ISBLANK($AD$64)</formula>
    </cfRule>
  </conditionalFormatting>
  <conditionalFormatting sqref="AI70">
    <cfRule type="expression" dxfId="12" priority="13">
      <formula>ISBLANK($AJ$20)</formula>
    </cfRule>
  </conditionalFormatting>
  <conditionalFormatting sqref="AO63">
    <cfRule type="expression" dxfId="11" priority="12">
      <formula>ISBLANK($AJ$63)</formula>
    </cfRule>
  </conditionalFormatting>
  <conditionalFormatting sqref="AO64">
    <cfRule type="expression" dxfId="10" priority="11">
      <formula>ISBLANK($AJ$67)</formula>
    </cfRule>
  </conditionalFormatting>
  <conditionalFormatting sqref="AO65">
    <cfRule type="expression" dxfId="9" priority="10">
      <formula>ISBLANK($AJ$64)</formula>
    </cfRule>
  </conditionalFormatting>
  <conditionalFormatting sqref="AO66">
    <cfRule type="expression" dxfId="8" priority="9">
      <formula>ISBLANK($AJ$68)</formula>
    </cfRule>
  </conditionalFormatting>
  <conditionalFormatting sqref="AV17">
    <cfRule type="expression" dxfId="7" priority="8">
      <formula>ISBLANK($AJ$17)</formula>
    </cfRule>
  </conditionalFormatting>
  <conditionalFormatting sqref="AV18">
    <cfRule type="expression" dxfId="6" priority="7">
      <formula>ISBLANK($AJ$18)</formula>
    </cfRule>
  </conditionalFormatting>
  <conditionalFormatting sqref="AV19">
    <cfRule type="expression" dxfId="5" priority="6">
      <formula>ISBLANK($AP$63)</formula>
    </cfRule>
  </conditionalFormatting>
  <conditionalFormatting sqref="AV20">
    <cfRule type="expression" dxfId="4" priority="5">
      <formula>ISBLANK($AP$64)</formula>
    </cfRule>
  </conditionalFormatting>
  <conditionalFormatting sqref="AV31">
    <cfRule type="expression" dxfId="3" priority="4">
      <formula>ISBLANK($AP$65)</formula>
    </cfRule>
  </conditionalFormatting>
  <conditionalFormatting sqref="AV32">
    <cfRule type="expression" dxfId="2" priority="3">
      <formula>ISBLANK($AP$66)</formula>
    </cfRule>
  </conditionalFormatting>
  <conditionalFormatting sqref="AV33">
    <cfRule type="expression" dxfId="1" priority="2">
      <formula>ISBLANK($AJ$65)</formula>
    </cfRule>
  </conditionalFormatting>
  <conditionalFormatting sqref="AV34">
    <cfRule type="expression" dxfId="0" priority="1">
      <formula>ISBLANK($AJ$69)</formula>
    </cfRule>
  </conditionalFormatting>
  <dataValidations count="38">
    <dataValidation type="whole" showInputMessage="1" showErrorMessage="1" errorTitle="Valeur rentrée" error="Valeur entre 0 et 2 uniquement" sqref="G18:G49 F32:F41 F57:F81 F9:F16" xr:uid="{4A302F6D-6855-4F98-88B3-AE0D66E2021D}">
      <formula1>0</formula1>
      <formula2>2</formula2>
    </dataValidation>
    <dataValidation type="list" allowBlank="1" showInputMessage="1" showErrorMessage="1" errorTitle="Valeur incorrecte" error="Valeurs autorisés :_x000a_    50cc_x000a_    100cc_x000a_    150cc_x000a_    Miroir_x000a_    200cc" sqref="D9" xr:uid="{B3EB5121-6651-4589-A575-C12B543DFE62}">
      <formula1>"50cc,100cc,150cc,Miroir,200cc"</formula1>
    </dataValidation>
    <dataValidation type="list" allowBlank="1" showInputMessage="1" showErrorMessage="1" errorTitle="Valeur incorrecte" error="Valeurs autorisés :_x000a_    Facile_x000a_    Normal_x000a_    Difficile" sqref="H9" xr:uid="{5B5F9108-8A4F-4122-81FD-91C0B9F3B685}">
      <formula1>"Facile,Normal,Difficile"</formula1>
    </dataValidation>
    <dataValidation type="list" allowBlank="1" showInputMessage="1" showErrorMessage="1" errorTitle="Valeur incorrecte" error="Valeurs autorisées :_x000a_    4_x000a_    6_x000a_    8_x000a_    12_x000a_    16_x000a_    24_x000a_    48" sqref="P15 AH61 AH15 P61 V61 AB61 AU15 AU29 V15 AB15 AN61" xr:uid="{79285C18-4B82-4B6A-BDA5-70BFC684EB6F}">
      <formula1>"4,6,8,12,16,24,48"</formula1>
    </dataValidation>
    <dataValidation type="list" allowBlank="1" showInputMessage="1" showErrorMessage="1" sqref="R17:R20" xr:uid="{353406DA-03E0-45A5-A27C-0364CBBA46A0}">
      <formula1>$Q$17:$Q$20</formula1>
    </dataValidation>
    <dataValidation type="list" allowBlank="1" showInputMessage="1" showErrorMessage="1" sqref="R21:R24" xr:uid="{113660A4-5E44-48F7-BA2B-3EDDA5F596FC}">
      <formula1>$Q$21:$Q$24</formula1>
    </dataValidation>
    <dataValidation type="list" allowBlank="1" showInputMessage="1" showErrorMessage="1" sqref="R25:R28" xr:uid="{9AF45A9A-4373-4D16-A6FF-F435E632E935}">
      <formula1>$Q$25:$Q$28</formula1>
    </dataValidation>
    <dataValidation type="list" allowBlank="1" showInputMessage="1" showErrorMessage="1" sqref="R29:R32" xr:uid="{B1EBD471-A081-4C14-9475-9B6665093C97}">
      <formula1>$Q$29:$Q$32</formula1>
    </dataValidation>
    <dataValidation type="list" allowBlank="1" showInputMessage="1" showErrorMessage="1" sqref="AJ17:AJ20" xr:uid="{BB13C608-9D23-4977-8B27-7674F5BB75E7}">
      <formula1>$AI$17:$AI$20</formula1>
    </dataValidation>
    <dataValidation type="list" allowBlank="1" showInputMessage="1" showErrorMessage="1" sqref="R63:R66" xr:uid="{00D7A44C-B7EE-4AAD-978E-18DFEE660C65}">
      <formula1>$Q$63:$Q$66</formula1>
    </dataValidation>
    <dataValidation type="list" allowBlank="1" showInputMessage="1" showErrorMessage="1" sqref="R67:R70" xr:uid="{5FC57F36-72A8-43BF-B9B5-8F4EB6A37127}">
      <formula1>$Q$67:$Q$70</formula1>
    </dataValidation>
    <dataValidation type="list" allowBlank="1" showInputMessage="1" showErrorMessage="1" sqref="X63:X66" xr:uid="{BB57D131-0B25-4D6E-9562-03FF7A994281}">
      <formula1>$W$63:$W$66</formula1>
    </dataValidation>
    <dataValidation type="list" allowBlank="1" showInputMessage="1" showErrorMessage="1" sqref="AW17:AW20" xr:uid="{B4D2D38B-5C3E-4C7A-8B4D-14695A9F97B9}">
      <formula1>$AV$17:$AV$20</formula1>
    </dataValidation>
    <dataValidation type="list" allowBlank="1" showInputMessage="1" showErrorMessage="1" sqref="AW31:AW34" xr:uid="{15DF635D-896A-411B-BF47-F814791A45D7}">
      <formula1>$AV$31:$AV$34</formula1>
    </dataValidation>
    <dataValidation type="decimal" allowBlank="1" showInputMessage="1" showErrorMessage="1" sqref="AX17:AX20 AX31:AX34" xr:uid="{7F8C02D8-CEA6-446B-A3FC-68FC2F5CD345}">
      <formula1>0</formula1>
      <formula2>720</formula2>
    </dataValidation>
    <dataValidation type="decimal" allowBlank="1" showInputMessage="1" showErrorMessage="1" sqref="E15:E46" xr:uid="{7306D21C-88DF-4620-989A-B80126ACF36D}">
      <formula1>0</formula1>
      <formula2>2</formula2>
    </dataValidation>
    <dataValidation type="list" allowBlank="1" showInputMessage="1" showErrorMessage="1" sqref="X67:X70 AJ72:AJ75" xr:uid="{88A72882-DE46-4631-94C0-8FF38604493E}">
      <formula1>$W$67:$W$70</formula1>
    </dataValidation>
    <dataValidation type="list" allowBlank="1" showInputMessage="1" showErrorMessage="1" sqref="R33:R36" xr:uid="{60D73F6E-0167-4763-93B9-A41F50ACA248}">
      <formula1>$Q$33:$Q$36</formula1>
    </dataValidation>
    <dataValidation type="list" allowBlank="1" showInputMessage="1" showErrorMessage="1" sqref="R37:R40" xr:uid="{F927CE3A-8F9C-4DC9-AF71-24C7E0CDA668}">
      <formula1>$Q$37:$Q$40</formula1>
    </dataValidation>
    <dataValidation type="list" allowBlank="1" showInputMessage="1" showErrorMessage="1" sqref="X17:X20" xr:uid="{D68C05DF-5559-4317-BBBD-26349004C4F6}">
      <formula1>$W$17:$W$20</formula1>
    </dataValidation>
    <dataValidation type="list" allowBlank="1" showInputMessage="1" showErrorMessage="1" sqref="X21:X24" xr:uid="{1A61F60B-BAC4-44E2-8827-8592F6921029}">
      <formula1>$W$21:$W$24</formula1>
    </dataValidation>
    <dataValidation type="list" allowBlank="1" showInputMessage="1" showErrorMessage="1" sqref="X25:X28" xr:uid="{1E96DE93-FE6B-4A3C-AB58-8B7C3F6F79CA}">
      <formula1>$W$25:$W$28</formula1>
    </dataValidation>
    <dataValidation type="list" allowBlank="1" showInputMessage="1" showErrorMessage="1" sqref="R71:R74" xr:uid="{0D085E90-A6A0-4202-8343-9D929CFEDF24}">
      <formula1>$Q$71:$Q$74</formula1>
    </dataValidation>
    <dataValidation type="list" allowBlank="1" showInputMessage="1" showErrorMessage="1" sqref="X71:X74" xr:uid="{FFE3695E-83FF-4D8D-9293-0F532AE6DC69}">
      <formula1>$W$71:$W$74</formula1>
    </dataValidation>
    <dataValidation type="list" allowBlank="1" showInputMessage="1" showErrorMessage="1" sqref="AD63:AD66" xr:uid="{71067710-AB9B-4943-A46B-1C9A91AE4374}">
      <formula1>$AC$63:$AC$66</formula1>
    </dataValidation>
    <dataValidation type="list" allowBlank="1" showInputMessage="1" showErrorMessage="1" sqref="AD67:AD70" xr:uid="{02DF2A0B-7830-4606-8DE6-4355129D1D62}">
      <formula1>$AC$67:$AC$70</formula1>
    </dataValidation>
    <dataValidation type="list" allowBlank="1" showInputMessage="1" showErrorMessage="1" sqref="AP68:AP70 AJ63:AJ66" xr:uid="{44693B3B-4FEB-4C07-B4CC-FE344BD50A87}">
      <formula1>$AI$63:$AI$66</formula1>
    </dataValidation>
    <dataValidation type="list" showInputMessage="1" showErrorMessage="1" errorTitle="Valeur rentrée" error="Valeur entre 0 et 2 uniquement" sqref="H15:H46" xr:uid="{98A004DD-1316-49B7-B48F-28A4068D9311}">
      <formula1>$A$1:$A$104</formula1>
    </dataValidation>
    <dataValidation type="list" allowBlank="1" showInputMessage="1" showErrorMessage="1" sqref="R41:R44" xr:uid="{C1625B28-816A-4E79-847C-FA9D8BDC9EA6}">
      <formula1>$Q$41:$Q$44</formula1>
    </dataValidation>
    <dataValidation type="list" allowBlank="1" showInputMessage="1" showErrorMessage="1" sqref="R45:R48" xr:uid="{B257B040-6A3D-4753-82EA-45922DAAB126}">
      <formula1>$Q$45:$Q$48</formula1>
    </dataValidation>
    <dataValidation type="list" allowBlank="1" showInputMessage="1" showErrorMessage="1" sqref="X29:X32" xr:uid="{189B33BA-B87E-4660-9998-003CA06810A6}">
      <formula1>$W$29:$W$32</formula1>
    </dataValidation>
    <dataValidation type="list" allowBlank="1" showInputMessage="1" showErrorMessage="1" sqref="AD17:AD20" xr:uid="{F30F87A1-4E25-4240-809A-12FE8FEA1C1B}">
      <formula1>$AC$17:$AC$20</formula1>
    </dataValidation>
    <dataValidation type="list" allowBlank="1" showInputMessage="1" showErrorMessage="1" sqref="AD21:AD24" xr:uid="{6771E083-140D-4673-9369-1CF0C9F2F2F5}">
      <formula1>$AC$21:$AC$24</formula1>
    </dataValidation>
    <dataValidation type="list" allowBlank="1" showInputMessage="1" showErrorMessage="1" sqref="R75:R78" xr:uid="{4283BA64-33BD-4921-A381-375863B1BED9}">
      <formula1>$Q$75:$Q$78</formula1>
    </dataValidation>
    <dataValidation type="list" allowBlank="1" showInputMessage="1" showErrorMessage="1" sqref="X75:X78" xr:uid="{1A39B216-91AA-4C3A-9DAA-8B4DE6A2404D}">
      <formula1>$W$75:$W$78</formula1>
    </dataValidation>
    <dataValidation type="list" allowBlank="1" showInputMessage="1" showErrorMessage="1" sqref="AD71:AD74" xr:uid="{E1FB776A-6BE7-4383-AB25-3275F00E2C0E}">
      <formula1>$AC$71:$AC$74</formula1>
    </dataValidation>
    <dataValidation type="list" allowBlank="1" showInputMessage="1" showErrorMessage="1" sqref="AJ67:AJ70" xr:uid="{9F0D4C4D-105F-4875-9D84-852AED5A767B}">
      <formula1>$AI$67:$AI$70</formula1>
    </dataValidation>
    <dataValidation type="list" allowBlank="1" showInputMessage="1" showErrorMessage="1" sqref="AP63:AP66" xr:uid="{DE1E92D5-92CC-47F8-B778-58E58AEAA329}">
      <formula1>$AO$63:$AO$66</formula1>
    </dataValidation>
  </dataValidations>
  <pageMargins left="0.7" right="0.7" top="0.75" bottom="0.75" header="0.3" footer="0.3"/>
  <pageSetup paperSize="9" scale="1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3" id="{E6DFC4A9-1971-448F-AD1A-E8F35EF5B4EF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2"/>
              <x14:cfIcon iconSet="3Symbols2" iconId="1"/>
            </x14:iconSet>
          </x14:cfRule>
          <xm:sqref>E15:E46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Solo 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GoGu</dc:creator>
  <cp:lastModifiedBy>Mr GoGu</cp:lastModifiedBy>
  <dcterms:created xsi:type="dcterms:W3CDTF">2024-09-13T19:34:25Z</dcterms:created>
  <dcterms:modified xsi:type="dcterms:W3CDTF">2025-10-16T12:24:22Z</dcterms:modified>
</cp:coreProperties>
</file>